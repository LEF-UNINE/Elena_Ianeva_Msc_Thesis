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 Ianeva\Desktop\master_thesis\data\"/>
    </mc:Choice>
  </mc:AlternateContent>
  <xr:revisionPtr revIDLastSave="0" documentId="8_{3CAA7AA7-CCD2-454E-B21D-52BC94558061}" xr6:coauthVersionLast="47" xr6:coauthVersionMax="47" xr10:uidLastSave="{00000000-0000-0000-0000-000000000000}"/>
  <bookViews>
    <workbookView xWindow="-108" yWindow="-108" windowWidth="23256" windowHeight="12576" tabRatio="857" xr2:uid="{8383D869-D860-42A6-B4D2-34D33505C4E5}"/>
  </bookViews>
  <sheets>
    <sheet name="cox_model" sheetId="10" r:id="rId1"/>
    <sheet name="Larva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0" l="1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2" i="10"/>
  <c r="B121" i="10"/>
  <c r="B120" i="10"/>
  <c r="B119" i="10"/>
  <c r="B118" i="10"/>
  <c r="B117" i="10"/>
  <c r="B116" i="10"/>
  <c r="B115" i="10"/>
  <c r="B114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3" i="10"/>
  <c r="B82" i="10"/>
  <c r="B81" i="10"/>
  <c r="B80" i="10"/>
  <c r="B78" i="10"/>
  <c r="B77" i="10"/>
  <c r="B76" i="10"/>
  <c r="B75" i="10"/>
  <c r="B74" i="10"/>
  <c r="B72" i="10"/>
  <c r="B71" i="10"/>
  <c r="B60" i="10"/>
  <c r="B70" i="10"/>
  <c r="B69" i="10"/>
  <c r="B68" i="10"/>
  <c r="B67" i="10"/>
  <c r="B66" i="10"/>
  <c r="B65" i="10"/>
  <c r="B61" i="10"/>
  <c r="B43" i="10"/>
  <c r="B41" i="10"/>
  <c r="B40" i="10"/>
  <c r="B34" i="10"/>
  <c r="B32" i="10"/>
  <c r="B31" i="10"/>
  <c r="B24" i="10"/>
  <c r="B20" i="10"/>
  <c r="B17" i="10"/>
  <c r="B14" i="10"/>
  <c r="B12" i="10"/>
  <c r="B11" i="10"/>
  <c r="B9" i="10"/>
  <c r="B5" i="10"/>
  <c r="B3" i="10"/>
  <c r="B2" i="10"/>
  <c r="B22" i="10"/>
  <c r="B21" i="10"/>
  <c r="B19" i="10"/>
  <c r="B18" i="10"/>
  <c r="B16" i="10"/>
  <c r="B6" i="10"/>
</calcChain>
</file>

<file path=xl/sharedStrings.xml><?xml version="1.0" encoding="utf-8"?>
<sst xmlns="http://schemas.openxmlformats.org/spreadsheetml/2006/main" count="1760" uniqueCount="360">
  <si>
    <t>Rep</t>
  </si>
  <si>
    <t>Plant_sp</t>
  </si>
  <si>
    <t>Treatment</t>
  </si>
  <si>
    <t xml:space="preserve">Check_date_1 </t>
  </si>
  <si>
    <t>Check_date_2</t>
  </si>
  <si>
    <t>Check_date_3</t>
  </si>
  <si>
    <t>Check_date_4</t>
  </si>
  <si>
    <t>Check_date_5</t>
  </si>
  <si>
    <t>Check_date_6</t>
  </si>
  <si>
    <t>Check_date_7</t>
  </si>
  <si>
    <t>Check_date_8</t>
  </si>
  <si>
    <t>Check_date_9</t>
  </si>
  <si>
    <t>Check_date_10</t>
  </si>
  <si>
    <t>Date_larvae</t>
  </si>
  <si>
    <t>M. aquaticum</t>
  </si>
  <si>
    <t>Control</t>
  </si>
  <si>
    <t>PF10.2</t>
  </si>
  <si>
    <t>PF11.2</t>
  </si>
  <si>
    <t>PF10.1</t>
  </si>
  <si>
    <t>PF11.1</t>
  </si>
  <si>
    <t>PF12.1</t>
  </si>
  <si>
    <t>PF12.2</t>
  </si>
  <si>
    <t>MV7.1</t>
  </si>
  <si>
    <t>MV7.2</t>
  </si>
  <si>
    <t>MV8.1</t>
  </si>
  <si>
    <t>MV8.2</t>
  </si>
  <si>
    <t>MV9.1</t>
  </si>
  <si>
    <t>MV9.2</t>
  </si>
  <si>
    <t>MV10.1</t>
  </si>
  <si>
    <t>MV10.2</t>
  </si>
  <si>
    <t>MV11.1</t>
  </si>
  <si>
    <t>MV11.2</t>
  </si>
  <si>
    <t>MV12.1</t>
  </si>
  <si>
    <t>MV12.2</t>
  </si>
  <si>
    <t>M. heterophyllum</t>
  </si>
  <si>
    <t>MH7.1</t>
  </si>
  <si>
    <t>MH7.2</t>
  </si>
  <si>
    <t>MH8.1</t>
  </si>
  <si>
    <t>MH8.2</t>
  </si>
  <si>
    <t>MH9.1</t>
  </si>
  <si>
    <t>MH9.2</t>
  </si>
  <si>
    <t>MH10.1</t>
  </si>
  <si>
    <t>MH10.2</t>
  </si>
  <si>
    <t>MH11.1</t>
  </si>
  <si>
    <t>MH11.2</t>
  </si>
  <si>
    <t>MH12.1</t>
  </si>
  <si>
    <t>MH12.2</t>
  </si>
  <si>
    <t>M. verticillatum</t>
  </si>
  <si>
    <t>the larva wasn't very active (on the 03/09/2025)</t>
  </si>
  <si>
    <t>the larva was found in the water (on the 03/09/2025)</t>
  </si>
  <si>
    <t>I think the larva was dead (03/09/2025)</t>
  </si>
  <si>
    <t>larva found in the water and wasn't very active (03/09/2025)</t>
  </si>
  <si>
    <t>Head_capsule_width_1_mm</t>
  </si>
  <si>
    <t>Head_capsule_width_2_mm</t>
  </si>
  <si>
    <t>Head_capsule_width_3_mm</t>
  </si>
  <si>
    <t>Head_capsule_width_4_mm</t>
  </si>
  <si>
    <t>Head_capsule_width_5_mm</t>
  </si>
  <si>
    <t>Head_capsule_width_6_mm</t>
  </si>
  <si>
    <t>Head_capsule_width_7_mm</t>
  </si>
  <si>
    <t>Head_capsule_width_8_mm</t>
  </si>
  <si>
    <t>Head_capsule_width_9_mm</t>
  </si>
  <si>
    <t>Head_capsule_width_10_mm</t>
  </si>
  <si>
    <t>10/09/2025: larva dead</t>
  </si>
  <si>
    <t>11/09: larva not very active. 12/09/2025: larva dead</t>
  </si>
  <si>
    <t>08/09/2025: larva dead</t>
  </si>
  <si>
    <t>05/09/2025: larva dead</t>
  </si>
  <si>
    <t xml:space="preserve">11/09/2025: larva dead </t>
  </si>
  <si>
    <t>03/09/2025: larva dead</t>
  </si>
  <si>
    <t>11/09/2025: larva dead</t>
  </si>
  <si>
    <t>prepupal stage</t>
  </si>
  <si>
    <t>pupa</t>
  </si>
  <si>
    <t>the larva pupated on PF</t>
  </si>
  <si>
    <t>the larva pupated on the wall of the cylinder</t>
  </si>
  <si>
    <t>Check_date_11</t>
  </si>
  <si>
    <t>Head_capsule_width_11_mm</t>
  </si>
  <si>
    <t>adult</t>
  </si>
  <si>
    <t>PF1.1a</t>
  </si>
  <si>
    <t>PF2.2a</t>
  </si>
  <si>
    <t>PF1.2a</t>
  </si>
  <si>
    <t>PF2.1a</t>
  </si>
  <si>
    <t>PF3.1a</t>
  </si>
  <si>
    <t>PF3.2a</t>
  </si>
  <si>
    <t>PF4.1a</t>
  </si>
  <si>
    <t>PF4.2a</t>
  </si>
  <si>
    <t>PF5.1a</t>
  </si>
  <si>
    <t>PF5.2a</t>
  </si>
  <si>
    <t>PF6.1a</t>
  </si>
  <si>
    <t>PF6.2a</t>
  </si>
  <si>
    <t>PF7.1a</t>
  </si>
  <si>
    <t>PF7.2a</t>
  </si>
  <si>
    <t>PF8.1a</t>
  </si>
  <si>
    <t>PF8.2a</t>
  </si>
  <si>
    <t>PF9.1a</t>
  </si>
  <si>
    <t>PF9.2a</t>
  </si>
  <si>
    <t>PF10.1a</t>
  </si>
  <si>
    <t>PF10.2a</t>
  </si>
  <si>
    <t>PF11.1a</t>
  </si>
  <si>
    <t>PF12.2a</t>
  </si>
  <si>
    <t>PF11.2a</t>
  </si>
  <si>
    <t>PF12.1a</t>
  </si>
  <si>
    <t>P. palustris</t>
  </si>
  <si>
    <t>PP1.1</t>
  </si>
  <si>
    <t>PP2.2</t>
  </si>
  <si>
    <t>PP1.2</t>
  </si>
  <si>
    <t>PP2.1</t>
  </si>
  <si>
    <t>PP3.1</t>
  </si>
  <si>
    <t>PP3.2</t>
  </si>
  <si>
    <t>PP4.1</t>
  </si>
  <si>
    <t>PP4.2</t>
  </si>
  <si>
    <t>PP5.1</t>
  </si>
  <si>
    <t>PP5.2</t>
  </si>
  <si>
    <t>PP6.1</t>
  </si>
  <si>
    <t>PP6.2</t>
  </si>
  <si>
    <t>PP7.1</t>
  </si>
  <si>
    <t>PP7.2</t>
  </si>
  <si>
    <t>PP8.1</t>
  </si>
  <si>
    <t>PP8.2</t>
  </si>
  <si>
    <t>PP9.1</t>
  </si>
  <si>
    <t>PP9.2</t>
  </si>
  <si>
    <t>PP10.1</t>
  </si>
  <si>
    <t>PP10.2</t>
  </si>
  <si>
    <t>PP11.1</t>
  </si>
  <si>
    <t>PP11.2</t>
  </si>
  <si>
    <t>PP12.1</t>
  </si>
  <si>
    <t>PP12.2</t>
  </si>
  <si>
    <t>M. hippuroides</t>
  </si>
  <si>
    <t>MHi1.1</t>
  </si>
  <si>
    <t>MHi1.2</t>
  </si>
  <si>
    <t>MHi2.1</t>
  </si>
  <si>
    <t>MHi3.1</t>
  </si>
  <si>
    <t>MHi2.2</t>
  </si>
  <si>
    <t>MHi3.2</t>
  </si>
  <si>
    <t>MHi4.1</t>
  </si>
  <si>
    <t>MHi4.2</t>
  </si>
  <si>
    <t>MHi5.1</t>
  </si>
  <si>
    <t>MHi5.2</t>
  </si>
  <si>
    <t>MHi6.1</t>
  </si>
  <si>
    <t>MHi6.2</t>
  </si>
  <si>
    <t>MHi7.1</t>
  </si>
  <si>
    <t>MHi7.2</t>
  </si>
  <si>
    <t>MHi8.1</t>
  </si>
  <si>
    <t>MHi8.2</t>
  </si>
  <si>
    <t>MHi9.1</t>
  </si>
  <si>
    <t>MHi9.2</t>
  </si>
  <si>
    <t>MHi10.1</t>
  </si>
  <si>
    <t>MHi10.2</t>
  </si>
  <si>
    <t>MHi11.1</t>
  </si>
  <si>
    <t>MHi11.2</t>
  </si>
  <si>
    <t>MHi12.1</t>
  </si>
  <si>
    <t>MHi12.2</t>
  </si>
  <si>
    <t>Plant_species</t>
  </si>
  <si>
    <t>larva dead</t>
  </si>
  <si>
    <t>F0 mais traces de crottes</t>
  </si>
  <si>
    <t>F1</t>
  </si>
  <si>
    <t>0 mais traces de crottes</t>
  </si>
  <si>
    <t>F2</t>
  </si>
  <si>
    <t>F0 avec peu de crottes</t>
  </si>
  <si>
    <t>F0 avec crottes</t>
  </si>
  <si>
    <t>F0 avec traces de crottes</t>
  </si>
  <si>
    <t>F0 mais avec traces de crottes</t>
  </si>
  <si>
    <t>Remarks (emerged). Numbers are for the feeding score after the 5days exposure</t>
  </si>
  <si>
    <t>F0</t>
  </si>
  <si>
    <t xml:space="preserve">0.24 larva dead </t>
  </si>
  <si>
    <t>HCW_2</t>
  </si>
  <si>
    <t>HCW_3</t>
  </si>
  <si>
    <t xml:space="preserve">larva dead </t>
  </si>
  <si>
    <t>HCW_4</t>
  </si>
  <si>
    <t>prepupal_stage</t>
  </si>
  <si>
    <t>HCW_5</t>
  </si>
  <si>
    <t>didn't find</t>
  </si>
  <si>
    <t>HCW_6</t>
  </si>
  <si>
    <t>HCW_7</t>
  </si>
  <si>
    <t>0,3 larva dead</t>
  </si>
  <si>
    <t>HCW_8</t>
  </si>
  <si>
    <t>HCW_9</t>
  </si>
  <si>
    <t>HCW_10</t>
  </si>
  <si>
    <t>HCW_11</t>
  </si>
  <si>
    <t xml:space="preserve">adult </t>
  </si>
  <si>
    <t xml:space="preserve">pupa </t>
  </si>
  <si>
    <t>Check_date_12</t>
  </si>
  <si>
    <t>HCW_12</t>
  </si>
  <si>
    <t>Check_date_13</t>
  </si>
  <si>
    <t>HCW_13</t>
  </si>
  <si>
    <t>Check_date_14</t>
  </si>
  <si>
    <t>HCW_14</t>
  </si>
  <si>
    <t>Check_date_15</t>
  </si>
  <si>
    <t>HCW_15</t>
  </si>
  <si>
    <t>PF1.1b</t>
  </si>
  <si>
    <t>PF1.2b</t>
  </si>
  <si>
    <t>PF2.1b</t>
  </si>
  <si>
    <t>PF2.2b</t>
  </si>
  <si>
    <t>PF3.1b</t>
  </si>
  <si>
    <t>PF3.2b</t>
  </si>
  <si>
    <t>PF4.1b</t>
  </si>
  <si>
    <t>PF4.2b</t>
  </si>
  <si>
    <t>PF5.1b</t>
  </si>
  <si>
    <t>PF5.2b</t>
  </si>
  <si>
    <t>PF6.1b</t>
  </si>
  <si>
    <t>PF6.2b</t>
  </si>
  <si>
    <t>PF7.1b</t>
  </si>
  <si>
    <t>PF7.2b</t>
  </si>
  <si>
    <t>PF8.1b</t>
  </si>
  <si>
    <t>PF8.2b</t>
  </si>
  <si>
    <t>PF9.1b</t>
  </si>
  <si>
    <t>PF9.2b</t>
  </si>
  <si>
    <t>PF10.1b</t>
  </si>
  <si>
    <t>PF10.2b</t>
  </si>
  <si>
    <t>PF11.1b</t>
  </si>
  <si>
    <t>PF11.2b</t>
  </si>
  <si>
    <t>PF12.1b</t>
  </si>
  <si>
    <t>PF12.2b</t>
  </si>
  <si>
    <t>Check_date_16</t>
  </si>
  <si>
    <t>HCW_16</t>
  </si>
  <si>
    <t>Check_date_17</t>
  </si>
  <si>
    <t>HCW_17</t>
  </si>
  <si>
    <t>Check_date_18</t>
  </si>
  <si>
    <t>HCW_18</t>
  </si>
  <si>
    <t>Check_date_19</t>
  </si>
  <si>
    <t>Check_date_1</t>
  </si>
  <si>
    <t>HCW_1</t>
  </si>
  <si>
    <t>HCW_19</t>
  </si>
  <si>
    <t>Check_date_20</t>
  </si>
  <si>
    <t>HCW_20</t>
  </si>
  <si>
    <t>LR1.1</t>
  </si>
  <si>
    <t>LR1.2</t>
  </si>
  <si>
    <t>LR2.1</t>
  </si>
  <si>
    <t>LF2.2</t>
  </si>
  <si>
    <t>LR3.1</t>
  </si>
  <si>
    <t>LR3.2</t>
  </si>
  <si>
    <t>LR4.1</t>
  </si>
  <si>
    <t>LR4.2</t>
  </si>
  <si>
    <t>LR5.1</t>
  </si>
  <si>
    <t>LR5.2</t>
  </si>
  <si>
    <t>LR6.1</t>
  </si>
  <si>
    <t>LR6.2</t>
  </si>
  <si>
    <t>LR7.1</t>
  </si>
  <si>
    <t>LR7.2</t>
  </si>
  <si>
    <t>LR8.1</t>
  </si>
  <si>
    <t>LR8.2</t>
  </si>
  <si>
    <t>LR9.1</t>
  </si>
  <si>
    <t>LR9.2</t>
  </si>
  <si>
    <t>LR10.1</t>
  </si>
  <si>
    <t>LR10.2</t>
  </si>
  <si>
    <t>LR11.1</t>
  </si>
  <si>
    <t>LR11.2</t>
  </si>
  <si>
    <t>LR12.1</t>
  </si>
  <si>
    <t>LR12.2</t>
  </si>
  <si>
    <t>Laurembergia repens</t>
  </si>
  <si>
    <t>Ludwigia grandiflora</t>
  </si>
  <si>
    <t>LG1.1</t>
  </si>
  <si>
    <t>LG2.2</t>
  </si>
  <si>
    <t>LG1.2</t>
  </si>
  <si>
    <t>LG2.1</t>
  </si>
  <si>
    <t>LG3.1</t>
  </si>
  <si>
    <t>LG3.2</t>
  </si>
  <si>
    <t>LG4.1</t>
  </si>
  <si>
    <t>LG4.2</t>
  </si>
  <si>
    <t>LG5.1</t>
  </si>
  <si>
    <t>LG5.2</t>
  </si>
  <si>
    <t>LG6.1</t>
  </si>
  <si>
    <t>LG6.2</t>
  </si>
  <si>
    <t>LG7.1</t>
  </si>
  <si>
    <t>LG7.2</t>
  </si>
  <si>
    <t>LG8.1</t>
  </si>
  <si>
    <t>LG8.2</t>
  </si>
  <si>
    <t>LG9.1</t>
  </si>
  <si>
    <t>LG9.2</t>
  </si>
  <si>
    <t>LG10.1</t>
  </si>
  <si>
    <t>LG10.2</t>
  </si>
  <si>
    <t>LG11.1</t>
  </si>
  <si>
    <t>LG11.2</t>
  </si>
  <si>
    <t>LG12.1</t>
  </si>
  <si>
    <t>LG12.2</t>
  </si>
  <si>
    <t>dead</t>
  </si>
  <si>
    <t xml:space="preserve">F0 mais traces de crottes- dead &lt;- dessication </t>
  </si>
  <si>
    <t xml:space="preserve">dead &lt;- dessication </t>
  </si>
  <si>
    <t>F0 + crottes</t>
  </si>
  <si>
    <t xml:space="preserve">F0 </t>
  </si>
  <si>
    <t>yes</t>
  </si>
  <si>
    <t>pupa (strange shape)</t>
  </si>
  <si>
    <t>L. repens</t>
  </si>
  <si>
    <t>L. grandiflora</t>
  </si>
  <si>
    <t>pupa and adult with stange shape</t>
  </si>
  <si>
    <t>0,6 dead</t>
  </si>
  <si>
    <t>Check_date_21</t>
  </si>
  <si>
    <t>HCW_21</t>
  </si>
  <si>
    <t>Check_date_22</t>
  </si>
  <si>
    <t>HCW_22</t>
  </si>
  <si>
    <t>Check_date_23</t>
  </si>
  <si>
    <t>HCW_23</t>
  </si>
  <si>
    <t>Check_date_24</t>
  </si>
  <si>
    <t>HCW_24</t>
  </si>
  <si>
    <t>Check_date_25</t>
  </si>
  <si>
    <t>HCW_25</t>
  </si>
  <si>
    <t>Check_date_26</t>
  </si>
  <si>
    <t xml:space="preserve">prepupal stage </t>
  </si>
  <si>
    <t>HCW_26</t>
  </si>
  <si>
    <t>Check_date_27</t>
  </si>
  <si>
    <t>HCW_27</t>
  </si>
  <si>
    <t>Herbivory 5 days</t>
  </si>
  <si>
    <t>MHi1.1a</t>
  </si>
  <si>
    <t>MHi1.2a</t>
  </si>
  <si>
    <t>MHi2.1a</t>
  </si>
  <si>
    <t>MHi2.2a</t>
  </si>
  <si>
    <t>MHi3.1a</t>
  </si>
  <si>
    <t>MHi3.2a</t>
  </si>
  <si>
    <t>MHi4.1a</t>
  </si>
  <si>
    <t>MHi4.2a</t>
  </si>
  <si>
    <t>MHi5.1a</t>
  </si>
  <si>
    <t>MHi5.2a</t>
  </si>
  <si>
    <t>MHi6.1a</t>
  </si>
  <si>
    <t>MHi6.2a</t>
  </si>
  <si>
    <t>MHi7.1a</t>
  </si>
  <si>
    <t>MHi7.2a</t>
  </si>
  <si>
    <t>MHi8.1a</t>
  </si>
  <si>
    <t>MHi8.2a</t>
  </si>
  <si>
    <t>MHi9.1a</t>
  </si>
  <si>
    <t>MHi9.2a</t>
  </si>
  <si>
    <t>MHi10.1a</t>
  </si>
  <si>
    <t>MHi10.2a</t>
  </si>
  <si>
    <t>MHi11.1a</t>
  </si>
  <si>
    <t>MHi11.2a</t>
  </si>
  <si>
    <t>MHi12.1a</t>
  </si>
  <si>
    <t>MHi12.2a</t>
  </si>
  <si>
    <t>PF1.1c</t>
  </si>
  <si>
    <t>PF1.2c</t>
  </si>
  <si>
    <t>PF2.1c</t>
  </si>
  <si>
    <t>PF2.2c</t>
  </si>
  <si>
    <t>PF3.1c</t>
  </si>
  <si>
    <t>PF3.2c</t>
  </si>
  <si>
    <t>PF4.1c</t>
  </si>
  <si>
    <t>PF4.2c</t>
  </si>
  <si>
    <t>PF5.1c</t>
  </si>
  <si>
    <t>PF5.2c</t>
  </si>
  <si>
    <t>PF6.1c</t>
  </si>
  <si>
    <t>PF6.2c</t>
  </si>
  <si>
    <t>PF7.1c</t>
  </si>
  <si>
    <t>PF7.2c</t>
  </si>
  <si>
    <t>PF8.1c</t>
  </si>
  <si>
    <t>PF8.2c</t>
  </si>
  <si>
    <t>PF9.1c</t>
  </si>
  <si>
    <t>PF9.2c</t>
  </si>
  <si>
    <t>PF10.1c</t>
  </si>
  <si>
    <t>PF10.2c</t>
  </si>
  <si>
    <t>PF11.1c</t>
  </si>
  <si>
    <t>PF11.2c</t>
  </si>
  <si>
    <t>PF12.1c</t>
  </si>
  <si>
    <t>PF12.2c</t>
  </si>
  <si>
    <t>pupae</t>
  </si>
  <si>
    <t>id</t>
  </si>
  <si>
    <t>time</t>
  </si>
  <si>
    <t>status</t>
  </si>
  <si>
    <t>stage_at_death</t>
  </si>
  <si>
    <t>status = 0</t>
  </si>
  <si>
    <t>status = 1</t>
  </si>
  <si>
    <t>the event happened,= dead</t>
  </si>
  <si>
    <t>Herbviroy 5 days</t>
  </si>
  <si>
    <t>survival until pupa!!!</t>
  </si>
  <si>
    <t>Survival_to_pupa</t>
  </si>
  <si>
    <t>LR2.2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</si>
</sst>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1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14" fontId="0" fillId="5" borderId="0" xfId="0" applyNumberFormat="1" applyFill="1"/>
    <xf numFmtId="14" fontId="0" fillId="2" borderId="0" xfId="0" applyNumberFormat="1" applyFill="1"/>
    <xf numFmtId="0" fontId="0" fillId="3" borderId="2" xfId="0" applyFill="1" applyBorder="1"/>
    <xf numFmtId="0" fontId="0" fillId="6" borderId="0" xfId="0" applyFill="1"/>
    <xf numFmtId="0" fontId="0" fillId="2" borderId="2" xfId="0" applyFill="1" applyBorder="1"/>
    <xf numFmtId="0" fontId="0" fillId="5" borderId="1" xfId="0" applyFill="1" applyBorder="1"/>
    <xf numFmtId="0" fontId="0" fillId="7" borderId="0" xfId="0" applyFill="1"/>
    <xf numFmtId="0" fontId="2" fillId="3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4B88-29FD-4BB0-8179-B191009A6B61}">
  <dimension ref="A1:P218"/>
  <sheetViews>
    <sheetView tabSelected="1" topLeftCell="A209" zoomScale="87" workbookViewId="0">
      <selection activeCell="P217" sqref="P217"/>
    </sheetView>
  </sheetViews>
  <sheetFormatPr defaultRowHeight="14.4" x14ac:dyDescent="0.3"/>
  <cols>
    <col min="2" max="2" width="10.109375" bestFit="1" customWidth="1"/>
    <col min="4" max="4" width="13.109375" bestFit="1" customWidth="1"/>
    <col min="5" max="5" width="12.77734375" customWidth="1"/>
    <col min="6" max="6" width="14.109375" bestFit="1" customWidth="1"/>
    <col min="7" max="7" width="14.77734375" bestFit="1" customWidth="1"/>
    <col min="15" max="15" width="8.5546875" bestFit="1" customWidth="1"/>
    <col min="16" max="16" width="22.77734375" bestFit="1" customWidth="1"/>
  </cols>
  <sheetData>
    <row r="1" spans="1:16" x14ac:dyDescent="0.3">
      <c r="A1" t="s">
        <v>349</v>
      </c>
      <c r="B1" t="s">
        <v>350</v>
      </c>
      <c r="C1" t="s">
        <v>351</v>
      </c>
      <c r="D1" t="s">
        <v>352</v>
      </c>
      <c r="E1" t="s">
        <v>150</v>
      </c>
      <c r="F1" t="s">
        <v>2</v>
      </c>
      <c r="G1" t="s">
        <v>358</v>
      </c>
    </row>
    <row r="2" spans="1:16" x14ac:dyDescent="0.3">
      <c r="A2" s="6" t="s">
        <v>76</v>
      </c>
      <c r="B2">
        <f>Larvae!AF34-Larvae!C34</f>
        <v>22</v>
      </c>
      <c r="C2">
        <v>0</v>
      </c>
      <c r="E2" t="s">
        <v>14</v>
      </c>
      <c r="F2" t="s">
        <v>15</v>
      </c>
      <c r="G2">
        <v>1</v>
      </c>
      <c r="O2" t="s">
        <v>353</v>
      </c>
      <c r="P2" t="s">
        <v>357</v>
      </c>
    </row>
    <row r="3" spans="1:16" x14ac:dyDescent="0.3">
      <c r="A3" s="6" t="s">
        <v>78</v>
      </c>
      <c r="B3">
        <f>Larvae!V35-Larvae!C35</f>
        <v>17</v>
      </c>
      <c r="C3">
        <v>0</v>
      </c>
      <c r="E3" t="s">
        <v>14</v>
      </c>
      <c r="F3" t="s">
        <v>15</v>
      </c>
      <c r="G3">
        <v>1</v>
      </c>
      <c r="O3" t="s">
        <v>354</v>
      </c>
      <c r="P3" t="s">
        <v>355</v>
      </c>
    </row>
    <row r="4" spans="1:16" x14ac:dyDescent="0.3">
      <c r="A4" s="3" t="s">
        <v>79</v>
      </c>
      <c r="B4" s="15">
        <v>1</v>
      </c>
      <c r="C4">
        <v>1</v>
      </c>
      <c r="E4" t="s">
        <v>14</v>
      </c>
      <c r="F4" t="s">
        <v>15</v>
      </c>
      <c r="G4">
        <v>0</v>
      </c>
    </row>
    <row r="5" spans="1:16" x14ac:dyDescent="0.3">
      <c r="A5" s="6" t="s">
        <v>77</v>
      </c>
      <c r="B5">
        <f>Larvae!V37-Larvae!C37</f>
        <v>17</v>
      </c>
      <c r="C5">
        <v>0</v>
      </c>
      <c r="E5" t="s">
        <v>14</v>
      </c>
      <c r="F5" t="s">
        <v>15</v>
      </c>
      <c r="G5">
        <v>1</v>
      </c>
    </row>
    <row r="6" spans="1:16" x14ac:dyDescent="0.3">
      <c r="A6" s="7" t="s">
        <v>80</v>
      </c>
      <c r="B6">
        <f>Larvae!L38-Larvae!C38+1</f>
        <v>13</v>
      </c>
      <c r="C6">
        <v>1</v>
      </c>
      <c r="E6" t="s">
        <v>14</v>
      </c>
      <c r="F6" t="s">
        <v>15</v>
      </c>
      <c r="G6">
        <v>0</v>
      </c>
    </row>
    <row r="7" spans="1:16" x14ac:dyDescent="0.3">
      <c r="A7" s="7" t="s">
        <v>81</v>
      </c>
      <c r="B7" s="15">
        <v>1</v>
      </c>
      <c r="C7">
        <v>1</v>
      </c>
      <c r="E7" t="s">
        <v>14</v>
      </c>
      <c r="F7" t="s">
        <v>15</v>
      </c>
      <c r="G7">
        <v>0</v>
      </c>
    </row>
    <row r="8" spans="1:16" x14ac:dyDescent="0.3">
      <c r="A8" s="7" t="s">
        <v>82</v>
      </c>
      <c r="B8" s="15">
        <v>1</v>
      </c>
      <c r="C8">
        <v>1</v>
      </c>
      <c r="E8" t="s">
        <v>14</v>
      </c>
      <c r="F8" t="s">
        <v>15</v>
      </c>
      <c r="G8">
        <v>0</v>
      </c>
    </row>
    <row r="9" spans="1:16" x14ac:dyDescent="0.3">
      <c r="A9" s="6" t="s">
        <v>83</v>
      </c>
      <c r="B9">
        <f>Larvae!V41-Larvae!C41</f>
        <v>17</v>
      </c>
      <c r="C9">
        <v>0</v>
      </c>
      <c r="E9" t="s">
        <v>14</v>
      </c>
      <c r="F9" t="s">
        <v>15</v>
      </c>
      <c r="G9">
        <v>1</v>
      </c>
    </row>
    <row r="10" spans="1:16" x14ac:dyDescent="0.3">
      <c r="A10" s="3" t="s">
        <v>84</v>
      </c>
      <c r="B10" s="15">
        <v>1</v>
      </c>
      <c r="C10">
        <v>1</v>
      </c>
      <c r="E10" t="s">
        <v>14</v>
      </c>
      <c r="F10" t="s">
        <v>15</v>
      </c>
      <c r="G10">
        <v>0</v>
      </c>
    </row>
    <row r="11" spans="1:16" x14ac:dyDescent="0.3">
      <c r="A11" s="6" t="s">
        <v>85</v>
      </c>
      <c r="B11">
        <f>Larvae!V43-Larvae!C43</f>
        <v>17</v>
      </c>
      <c r="C11">
        <v>0</v>
      </c>
      <c r="E11" t="s">
        <v>14</v>
      </c>
      <c r="F11" t="s">
        <v>15</v>
      </c>
      <c r="G11">
        <v>1</v>
      </c>
    </row>
    <row r="12" spans="1:16" x14ac:dyDescent="0.3">
      <c r="A12" s="6" t="s">
        <v>86</v>
      </c>
      <c r="B12">
        <f>Larvae!P44-Larvae!C44</f>
        <v>14</v>
      </c>
      <c r="C12">
        <v>0</v>
      </c>
      <c r="E12" t="s">
        <v>14</v>
      </c>
      <c r="F12" t="s">
        <v>15</v>
      </c>
      <c r="G12">
        <v>1</v>
      </c>
    </row>
    <row r="13" spans="1:16" x14ac:dyDescent="0.3">
      <c r="A13" s="7" t="s">
        <v>87</v>
      </c>
      <c r="B13" s="15">
        <v>1</v>
      </c>
      <c r="C13">
        <v>1</v>
      </c>
      <c r="E13" t="s">
        <v>14</v>
      </c>
      <c r="F13" t="s">
        <v>15</v>
      </c>
      <c r="G13">
        <v>0</v>
      </c>
    </row>
    <row r="14" spans="1:16" x14ac:dyDescent="0.3">
      <c r="A14" s="6" t="s">
        <v>88</v>
      </c>
      <c r="B14">
        <f>Larvae!V46-Larvae!C46</f>
        <v>17</v>
      </c>
      <c r="C14">
        <v>0</v>
      </c>
      <c r="E14" t="s">
        <v>14</v>
      </c>
      <c r="F14" t="s">
        <v>299</v>
      </c>
      <c r="G14">
        <v>1</v>
      </c>
    </row>
    <row r="15" spans="1:16" x14ac:dyDescent="0.3">
      <c r="A15" s="7" t="s">
        <v>89</v>
      </c>
      <c r="B15" s="15">
        <v>1</v>
      </c>
      <c r="C15">
        <v>1</v>
      </c>
      <c r="E15" t="s">
        <v>14</v>
      </c>
      <c r="F15" t="s">
        <v>299</v>
      </c>
      <c r="G15">
        <v>0</v>
      </c>
    </row>
    <row r="16" spans="1:16" x14ac:dyDescent="0.3">
      <c r="A16" s="6" t="s">
        <v>90</v>
      </c>
      <c r="B16" s="15">
        <f>Larvae!AD48-Larvae!C48</f>
        <v>21</v>
      </c>
      <c r="C16">
        <v>0</v>
      </c>
      <c r="E16" t="s">
        <v>14</v>
      </c>
      <c r="F16" t="s">
        <v>299</v>
      </c>
      <c r="G16">
        <v>1</v>
      </c>
    </row>
    <row r="17" spans="1:7" x14ac:dyDescent="0.3">
      <c r="A17" s="6" t="s">
        <v>91</v>
      </c>
      <c r="B17">
        <f>Larvae!V49-Larvae!C49</f>
        <v>17</v>
      </c>
      <c r="C17">
        <v>0</v>
      </c>
      <c r="E17" t="s">
        <v>14</v>
      </c>
      <c r="F17" t="s">
        <v>299</v>
      </c>
      <c r="G17">
        <v>1</v>
      </c>
    </row>
    <row r="18" spans="1:7" x14ac:dyDescent="0.3">
      <c r="A18" s="7" t="s">
        <v>92</v>
      </c>
      <c r="B18">
        <f>Larvae!F50-Larvae!C50+1</f>
        <v>6</v>
      </c>
      <c r="C18">
        <v>1</v>
      </c>
      <c r="E18" t="s">
        <v>14</v>
      </c>
      <c r="F18" t="s">
        <v>299</v>
      </c>
      <c r="G18">
        <v>0</v>
      </c>
    </row>
    <row r="19" spans="1:7" x14ac:dyDescent="0.3">
      <c r="A19" s="7" t="s">
        <v>93</v>
      </c>
      <c r="B19" s="15">
        <f>1</f>
        <v>1</v>
      </c>
      <c r="C19">
        <v>1</v>
      </c>
      <c r="E19" t="s">
        <v>14</v>
      </c>
      <c r="F19" t="s">
        <v>299</v>
      </c>
      <c r="G19">
        <v>0</v>
      </c>
    </row>
    <row r="20" spans="1:7" x14ac:dyDescent="0.3">
      <c r="A20" s="6" t="s">
        <v>94</v>
      </c>
      <c r="B20">
        <f>Larvae!Z52-Larvae!C52</f>
        <v>19</v>
      </c>
      <c r="C20">
        <v>0</v>
      </c>
      <c r="E20" t="s">
        <v>14</v>
      </c>
      <c r="F20" t="s">
        <v>299</v>
      </c>
      <c r="G20">
        <v>1</v>
      </c>
    </row>
    <row r="21" spans="1:7" x14ac:dyDescent="0.3">
      <c r="A21" s="3" t="s">
        <v>95</v>
      </c>
      <c r="B21">
        <f>Larvae!F53-Larvae!C53+1</f>
        <v>6</v>
      </c>
      <c r="C21">
        <v>1</v>
      </c>
      <c r="E21" t="s">
        <v>14</v>
      </c>
      <c r="F21" t="s">
        <v>299</v>
      </c>
      <c r="G21">
        <v>0</v>
      </c>
    </row>
    <row r="22" spans="1:7" x14ac:dyDescent="0.3">
      <c r="A22" s="3" t="s">
        <v>96</v>
      </c>
      <c r="B22">
        <f>Larvae!F54-Larvae!C54+1</f>
        <v>6</v>
      </c>
      <c r="C22">
        <v>1</v>
      </c>
      <c r="E22" t="s">
        <v>14</v>
      </c>
      <c r="F22" t="s">
        <v>299</v>
      </c>
      <c r="G22">
        <v>0</v>
      </c>
    </row>
    <row r="23" spans="1:7" x14ac:dyDescent="0.3">
      <c r="A23" s="7" t="s">
        <v>98</v>
      </c>
      <c r="B23" s="15">
        <v>1</v>
      </c>
      <c r="C23">
        <v>1</v>
      </c>
      <c r="E23" t="s">
        <v>14</v>
      </c>
      <c r="F23" t="s">
        <v>299</v>
      </c>
      <c r="G23">
        <v>0</v>
      </c>
    </row>
    <row r="24" spans="1:7" x14ac:dyDescent="0.3">
      <c r="A24" s="6" t="s">
        <v>99</v>
      </c>
      <c r="B24">
        <f>Larvae!Z56-Larvae!C56</f>
        <v>19</v>
      </c>
      <c r="C24">
        <v>0</v>
      </c>
      <c r="E24" t="s">
        <v>14</v>
      </c>
      <c r="F24" t="s">
        <v>299</v>
      </c>
      <c r="G24">
        <v>1</v>
      </c>
    </row>
    <row r="25" spans="1:7" x14ac:dyDescent="0.3">
      <c r="A25" s="3" t="s">
        <v>97</v>
      </c>
      <c r="B25" s="15">
        <v>1</v>
      </c>
      <c r="C25">
        <v>1</v>
      </c>
      <c r="E25" t="s">
        <v>14</v>
      </c>
      <c r="F25" t="s">
        <v>299</v>
      </c>
      <c r="G25">
        <v>0</v>
      </c>
    </row>
    <row r="30" spans="1:7" x14ac:dyDescent="0.3">
      <c r="A30" t="s">
        <v>349</v>
      </c>
      <c r="B30" t="s">
        <v>350</v>
      </c>
      <c r="C30" t="s">
        <v>351</v>
      </c>
      <c r="D30" t="s">
        <v>352</v>
      </c>
      <c r="E30" t="s">
        <v>150</v>
      </c>
      <c r="F30" t="s">
        <v>2</v>
      </c>
      <c r="G30" t="s">
        <v>358</v>
      </c>
    </row>
    <row r="31" spans="1:7" x14ac:dyDescent="0.3">
      <c r="A31" s="3" t="s">
        <v>101</v>
      </c>
      <c r="B31">
        <f>Larvae!L58-Larvae!C58+1</f>
        <v>13</v>
      </c>
      <c r="C31">
        <v>1</v>
      </c>
      <c r="E31" t="s">
        <v>100</v>
      </c>
      <c r="F31" t="s">
        <v>15</v>
      </c>
      <c r="G31">
        <v>0</v>
      </c>
    </row>
    <row r="32" spans="1:7" x14ac:dyDescent="0.3">
      <c r="A32" s="7" t="s">
        <v>103</v>
      </c>
      <c r="B32">
        <f>Larvae!H59-Larvae!C59+1</f>
        <v>8</v>
      </c>
      <c r="C32">
        <v>1</v>
      </c>
      <c r="E32" t="s">
        <v>100</v>
      </c>
      <c r="F32" t="s">
        <v>15</v>
      </c>
      <c r="G32">
        <v>0</v>
      </c>
    </row>
    <row r="33" spans="1:7" x14ac:dyDescent="0.3">
      <c r="A33" s="3" t="s">
        <v>104</v>
      </c>
      <c r="B33">
        <v>1</v>
      </c>
      <c r="C33">
        <v>1</v>
      </c>
      <c r="E33" t="s">
        <v>100</v>
      </c>
      <c r="F33" t="s">
        <v>15</v>
      </c>
      <c r="G33">
        <v>0</v>
      </c>
    </row>
    <row r="34" spans="1:7" x14ac:dyDescent="0.3">
      <c r="A34" s="3" t="s">
        <v>102</v>
      </c>
      <c r="B34">
        <f>Larvae!AF61-Larvae!C61</f>
        <v>22</v>
      </c>
      <c r="C34">
        <v>1</v>
      </c>
      <c r="E34" t="s">
        <v>100</v>
      </c>
      <c r="F34" t="s">
        <v>15</v>
      </c>
      <c r="G34">
        <v>0</v>
      </c>
    </row>
    <row r="35" spans="1:7" x14ac:dyDescent="0.3">
      <c r="A35" s="7" t="s">
        <v>105</v>
      </c>
      <c r="B35">
        <v>1</v>
      </c>
      <c r="C35">
        <v>1</v>
      </c>
      <c r="E35" t="s">
        <v>100</v>
      </c>
      <c r="F35" t="s">
        <v>15</v>
      </c>
      <c r="G35">
        <v>0</v>
      </c>
    </row>
    <row r="36" spans="1:7" x14ac:dyDescent="0.3">
      <c r="A36" s="7" t="s">
        <v>106</v>
      </c>
      <c r="B36">
        <v>1</v>
      </c>
      <c r="C36">
        <v>1</v>
      </c>
      <c r="E36" t="s">
        <v>100</v>
      </c>
      <c r="F36" t="s">
        <v>15</v>
      </c>
      <c r="G36">
        <v>0</v>
      </c>
    </row>
    <row r="37" spans="1:7" x14ac:dyDescent="0.3">
      <c r="A37" s="7" t="s">
        <v>107</v>
      </c>
      <c r="B37">
        <v>1</v>
      </c>
      <c r="C37">
        <v>1</v>
      </c>
      <c r="E37" t="s">
        <v>100</v>
      </c>
      <c r="F37" t="s">
        <v>15</v>
      </c>
      <c r="G37">
        <v>0</v>
      </c>
    </row>
    <row r="38" spans="1:7" x14ac:dyDescent="0.3">
      <c r="A38" s="7" t="s">
        <v>108</v>
      </c>
      <c r="B38">
        <v>1</v>
      </c>
      <c r="C38">
        <v>1</v>
      </c>
      <c r="E38" t="s">
        <v>100</v>
      </c>
      <c r="F38" t="s">
        <v>15</v>
      </c>
      <c r="G38">
        <v>0</v>
      </c>
    </row>
    <row r="39" spans="1:7" x14ac:dyDescent="0.3">
      <c r="A39" s="3" t="s">
        <v>109</v>
      </c>
      <c r="B39">
        <v>1</v>
      </c>
      <c r="C39">
        <v>1</v>
      </c>
      <c r="E39" t="s">
        <v>100</v>
      </c>
      <c r="F39" t="s">
        <v>15</v>
      </c>
      <c r="G39">
        <v>0</v>
      </c>
    </row>
    <row r="40" spans="1:7" x14ac:dyDescent="0.3">
      <c r="A40" s="7" t="s">
        <v>110</v>
      </c>
      <c r="B40">
        <f>1</f>
        <v>1</v>
      </c>
      <c r="C40">
        <v>1</v>
      </c>
      <c r="E40" t="s">
        <v>100</v>
      </c>
      <c r="F40" t="s">
        <v>15</v>
      </c>
      <c r="G40">
        <v>0</v>
      </c>
    </row>
    <row r="41" spans="1:7" x14ac:dyDescent="0.3">
      <c r="A41" s="3" t="s">
        <v>111</v>
      </c>
      <c r="B41">
        <f>Larvae!J68-Larvae!C68+1</f>
        <v>10</v>
      </c>
      <c r="C41">
        <v>1</v>
      </c>
      <c r="E41" t="s">
        <v>100</v>
      </c>
      <c r="F41" t="s">
        <v>15</v>
      </c>
      <c r="G41">
        <v>0</v>
      </c>
    </row>
    <row r="42" spans="1:7" x14ac:dyDescent="0.3">
      <c r="A42" s="3" t="s">
        <v>112</v>
      </c>
      <c r="B42">
        <v>1</v>
      </c>
      <c r="C42">
        <v>1</v>
      </c>
      <c r="E42" t="s">
        <v>100</v>
      </c>
      <c r="F42" t="s">
        <v>15</v>
      </c>
      <c r="G42">
        <v>0</v>
      </c>
    </row>
    <row r="43" spans="1:7" x14ac:dyDescent="0.3">
      <c r="A43" s="3" t="s">
        <v>113</v>
      </c>
      <c r="B43">
        <f>Larvae!H70-Larvae!C70+1</f>
        <v>8</v>
      </c>
      <c r="C43">
        <v>1</v>
      </c>
      <c r="E43" t="s">
        <v>100</v>
      </c>
      <c r="F43" t="s">
        <v>299</v>
      </c>
      <c r="G43">
        <v>0</v>
      </c>
    </row>
    <row r="44" spans="1:7" x14ac:dyDescent="0.3">
      <c r="A44" s="7" t="s">
        <v>114</v>
      </c>
      <c r="B44">
        <v>1</v>
      </c>
      <c r="C44">
        <v>1</v>
      </c>
      <c r="E44" t="s">
        <v>100</v>
      </c>
      <c r="F44" t="s">
        <v>299</v>
      </c>
      <c r="G44">
        <v>0</v>
      </c>
    </row>
    <row r="45" spans="1:7" x14ac:dyDescent="0.3">
      <c r="A45" s="7" t="s">
        <v>115</v>
      </c>
      <c r="B45">
        <v>1</v>
      </c>
      <c r="C45">
        <v>1</v>
      </c>
      <c r="E45" t="s">
        <v>100</v>
      </c>
      <c r="F45" t="s">
        <v>299</v>
      </c>
      <c r="G45">
        <v>0</v>
      </c>
    </row>
    <row r="46" spans="1:7" x14ac:dyDescent="0.3">
      <c r="A46" s="3" t="s">
        <v>116</v>
      </c>
      <c r="B46">
        <v>1</v>
      </c>
      <c r="C46">
        <v>1</v>
      </c>
      <c r="E46" t="s">
        <v>100</v>
      </c>
      <c r="F46" t="s">
        <v>299</v>
      </c>
      <c r="G46">
        <v>0</v>
      </c>
    </row>
    <row r="47" spans="1:7" x14ac:dyDescent="0.3">
      <c r="A47" s="3" t="s">
        <v>117</v>
      </c>
      <c r="B47">
        <v>1</v>
      </c>
      <c r="C47">
        <v>1</v>
      </c>
      <c r="E47" t="s">
        <v>100</v>
      </c>
      <c r="F47" t="s">
        <v>299</v>
      </c>
      <c r="G47">
        <v>0</v>
      </c>
    </row>
    <row r="48" spans="1:7" x14ac:dyDescent="0.3">
      <c r="A48" s="7" t="s">
        <v>118</v>
      </c>
      <c r="B48">
        <v>1</v>
      </c>
      <c r="C48">
        <v>1</v>
      </c>
      <c r="E48" t="s">
        <v>100</v>
      </c>
      <c r="F48" t="s">
        <v>299</v>
      </c>
      <c r="G48">
        <v>0</v>
      </c>
    </row>
    <row r="49" spans="1:7" x14ac:dyDescent="0.3">
      <c r="A49" s="7" t="s">
        <v>119</v>
      </c>
      <c r="B49">
        <v>1</v>
      </c>
      <c r="C49">
        <v>1</v>
      </c>
      <c r="E49" t="s">
        <v>100</v>
      </c>
      <c r="F49" t="s">
        <v>299</v>
      </c>
      <c r="G49">
        <v>0</v>
      </c>
    </row>
    <row r="50" spans="1:7" x14ac:dyDescent="0.3">
      <c r="A50" s="7" t="s">
        <v>120</v>
      </c>
      <c r="B50">
        <v>1</v>
      </c>
      <c r="C50">
        <v>1</v>
      </c>
      <c r="E50" t="s">
        <v>100</v>
      </c>
      <c r="F50" t="s">
        <v>299</v>
      </c>
      <c r="G50">
        <v>0</v>
      </c>
    </row>
    <row r="51" spans="1:7" x14ac:dyDescent="0.3">
      <c r="A51" s="7" t="s">
        <v>121</v>
      </c>
      <c r="B51">
        <v>1</v>
      </c>
      <c r="C51">
        <v>1</v>
      </c>
      <c r="E51" t="s">
        <v>100</v>
      </c>
      <c r="F51" t="s">
        <v>299</v>
      </c>
      <c r="G51">
        <v>0</v>
      </c>
    </row>
    <row r="52" spans="1:7" x14ac:dyDescent="0.3">
      <c r="A52" s="7" t="s">
        <v>122</v>
      </c>
      <c r="B52">
        <v>1</v>
      </c>
      <c r="C52">
        <v>1</v>
      </c>
      <c r="E52" t="s">
        <v>100</v>
      </c>
      <c r="F52" t="s">
        <v>299</v>
      </c>
      <c r="G52">
        <v>0</v>
      </c>
    </row>
    <row r="53" spans="1:7" x14ac:dyDescent="0.3">
      <c r="A53" s="6" t="s">
        <v>123</v>
      </c>
      <c r="B53">
        <f>Larvae!L80-Larvae!C80</f>
        <v>12</v>
      </c>
      <c r="C53">
        <v>0</v>
      </c>
      <c r="E53" t="s">
        <v>100</v>
      </c>
      <c r="F53" t="s">
        <v>299</v>
      </c>
      <c r="G53">
        <v>1</v>
      </c>
    </row>
    <row r="54" spans="1:7" x14ac:dyDescent="0.3">
      <c r="A54" s="7" t="s">
        <v>124</v>
      </c>
      <c r="B54">
        <v>1</v>
      </c>
      <c r="C54">
        <v>1</v>
      </c>
      <c r="E54" t="s">
        <v>100</v>
      </c>
      <c r="F54" t="s">
        <v>299</v>
      </c>
      <c r="G54">
        <v>0</v>
      </c>
    </row>
    <row r="59" spans="1:7" x14ac:dyDescent="0.3">
      <c r="A59" t="s">
        <v>349</v>
      </c>
      <c r="B59" t="s">
        <v>350</v>
      </c>
      <c r="C59" t="s">
        <v>351</v>
      </c>
      <c r="D59" t="s">
        <v>352</v>
      </c>
      <c r="E59" t="s">
        <v>150</v>
      </c>
      <c r="F59" t="s">
        <v>2</v>
      </c>
      <c r="G59" t="s">
        <v>358</v>
      </c>
    </row>
    <row r="60" spans="1:7" x14ac:dyDescent="0.3">
      <c r="A60" s="6" t="s">
        <v>126</v>
      </c>
      <c r="B60">
        <f>Larvae!X82-Larvae!C82</f>
        <v>18</v>
      </c>
      <c r="C60">
        <v>0</v>
      </c>
      <c r="E60" t="s">
        <v>125</v>
      </c>
      <c r="F60" t="s">
        <v>15</v>
      </c>
      <c r="G60">
        <v>1</v>
      </c>
    </row>
    <row r="61" spans="1:7" x14ac:dyDescent="0.3">
      <c r="A61" s="3" t="s">
        <v>127</v>
      </c>
      <c r="B61">
        <f>1</f>
        <v>1</v>
      </c>
      <c r="C61">
        <v>1</v>
      </c>
      <c r="E61" t="s">
        <v>125</v>
      </c>
      <c r="F61" t="s">
        <v>15</v>
      </c>
      <c r="G61">
        <v>0</v>
      </c>
    </row>
    <row r="62" spans="1:7" x14ac:dyDescent="0.3">
      <c r="A62" s="3" t="s">
        <v>128</v>
      </c>
      <c r="B62">
        <v>1</v>
      </c>
      <c r="C62">
        <v>1</v>
      </c>
      <c r="E62" t="s">
        <v>125</v>
      </c>
      <c r="F62" t="s">
        <v>15</v>
      </c>
      <c r="G62">
        <v>0</v>
      </c>
    </row>
    <row r="63" spans="1:7" x14ac:dyDescent="0.3">
      <c r="A63" s="3" t="s">
        <v>130</v>
      </c>
      <c r="B63">
        <v>1</v>
      </c>
      <c r="C63">
        <v>1</v>
      </c>
      <c r="E63" t="s">
        <v>125</v>
      </c>
      <c r="F63" t="s">
        <v>15</v>
      </c>
      <c r="G63">
        <v>0</v>
      </c>
    </row>
    <row r="64" spans="1:7" x14ac:dyDescent="0.3">
      <c r="A64" s="3" t="s">
        <v>129</v>
      </c>
      <c r="B64">
        <v>1</v>
      </c>
      <c r="C64">
        <v>1</v>
      </c>
      <c r="E64" t="s">
        <v>125</v>
      </c>
      <c r="F64" t="s">
        <v>15</v>
      </c>
      <c r="G64">
        <v>0</v>
      </c>
    </row>
    <row r="65" spans="1:7" x14ac:dyDescent="0.3">
      <c r="A65" s="7" t="s">
        <v>131</v>
      </c>
      <c r="B65">
        <f>1</f>
        <v>1</v>
      </c>
      <c r="C65">
        <v>1</v>
      </c>
      <c r="E65" t="s">
        <v>125</v>
      </c>
      <c r="F65" t="s">
        <v>15</v>
      </c>
      <c r="G65">
        <v>0</v>
      </c>
    </row>
    <row r="66" spans="1:7" x14ac:dyDescent="0.3">
      <c r="A66" s="6" t="s">
        <v>132</v>
      </c>
      <c r="B66">
        <f>Larvae!T88-Larvae!C88</f>
        <v>16</v>
      </c>
      <c r="C66">
        <v>0</v>
      </c>
      <c r="E66" t="s">
        <v>125</v>
      </c>
      <c r="F66" t="s">
        <v>15</v>
      </c>
      <c r="G66">
        <v>1</v>
      </c>
    </row>
    <row r="67" spans="1:7" x14ac:dyDescent="0.3">
      <c r="A67" s="6" t="s">
        <v>133</v>
      </c>
      <c r="B67">
        <f>Larvae!R89-Larvae!C89</f>
        <v>15</v>
      </c>
      <c r="C67">
        <v>0</v>
      </c>
      <c r="E67" t="s">
        <v>125</v>
      </c>
      <c r="F67" t="s">
        <v>15</v>
      </c>
      <c r="G67">
        <v>1</v>
      </c>
    </row>
    <row r="68" spans="1:7" x14ac:dyDescent="0.3">
      <c r="A68" s="6" t="s">
        <v>134</v>
      </c>
      <c r="B68">
        <f>Larvae!Z90-Larvae!C90</f>
        <v>19</v>
      </c>
      <c r="C68">
        <v>0</v>
      </c>
      <c r="E68" t="s">
        <v>125</v>
      </c>
      <c r="F68" t="s">
        <v>15</v>
      </c>
      <c r="G68">
        <v>1</v>
      </c>
    </row>
    <row r="69" spans="1:7" x14ac:dyDescent="0.3">
      <c r="A69" s="3" t="s">
        <v>135</v>
      </c>
      <c r="B69">
        <f>1</f>
        <v>1</v>
      </c>
      <c r="C69">
        <v>1</v>
      </c>
      <c r="E69" t="s">
        <v>125</v>
      </c>
      <c r="F69" t="s">
        <v>15</v>
      </c>
      <c r="G69">
        <v>0</v>
      </c>
    </row>
    <row r="70" spans="1:7" x14ac:dyDescent="0.3">
      <c r="A70" s="6" t="s">
        <v>136</v>
      </c>
      <c r="B70">
        <f>Larvae!AF92-Larvae!C92</f>
        <v>22</v>
      </c>
      <c r="C70">
        <v>0</v>
      </c>
      <c r="E70" t="s">
        <v>125</v>
      </c>
      <c r="F70" t="s">
        <v>15</v>
      </c>
      <c r="G70">
        <v>1</v>
      </c>
    </row>
    <row r="71" spans="1:7" x14ac:dyDescent="0.3">
      <c r="A71" s="3" t="s">
        <v>137</v>
      </c>
      <c r="B71">
        <f>1</f>
        <v>1</v>
      </c>
      <c r="C71">
        <v>1</v>
      </c>
      <c r="E71" t="s">
        <v>125</v>
      </c>
      <c r="F71" t="s">
        <v>15</v>
      </c>
      <c r="G71">
        <v>0</v>
      </c>
    </row>
    <row r="72" spans="1:7" x14ac:dyDescent="0.3">
      <c r="A72" s="7" t="s">
        <v>138</v>
      </c>
      <c r="B72">
        <f>1</f>
        <v>1</v>
      </c>
      <c r="C72">
        <v>1</v>
      </c>
      <c r="E72" t="s">
        <v>125</v>
      </c>
      <c r="F72" t="s">
        <v>299</v>
      </c>
      <c r="G72">
        <v>0</v>
      </c>
    </row>
    <row r="73" spans="1:7" x14ac:dyDescent="0.3">
      <c r="A73" s="7" t="s">
        <v>139</v>
      </c>
      <c r="B73">
        <v>1</v>
      </c>
      <c r="C73">
        <v>1</v>
      </c>
      <c r="E73" t="s">
        <v>125</v>
      </c>
      <c r="F73" t="s">
        <v>299</v>
      </c>
      <c r="G73">
        <v>0</v>
      </c>
    </row>
    <row r="74" spans="1:7" x14ac:dyDescent="0.3">
      <c r="A74" s="3" t="s">
        <v>140</v>
      </c>
      <c r="B74">
        <f>1</f>
        <v>1</v>
      </c>
      <c r="C74">
        <v>1</v>
      </c>
      <c r="E74" t="s">
        <v>125</v>
      </c>
      <c r="F74" t="s">
        <v>299</v>
      </c>
      <c r="G74">
        <v>0</v>
      </c>
    </row>
    <row r="75" spans="1:7" x14ac:dyDescent="0.3">
      <c r="A75" s="3" t="s">
        <v>141</v>
      </c>
      <c r="B75">
        <f>Larvae!L97-Larvae!C97+1</f>
        <v>13</v>
      </c>
      <c r="C75">
        <v>1</v>
      </c>
      <c r="E75" t="s">
        <v>125</v>
      </c>
      <c r="F75" t="s">
        <v>299</v>
      </c>
      <c r="G75">
        <v>0</v>
      </c>
    </row>
    <row r="76" spans="1:7" x14ac:dyDescent="0.3">
      <c r="A76" s="7" t="s">
        <v>142</v>
      </c>
      <c r="B76">
        <f>1</f>
        <v>1</v>
      </c>
      <c r="C76">
        <v>1</v>
      </c>
      <c r="E76" t="s">
        <v>125</v>
      </c>
      <c r="F76" t="s">
        <v>299</v>
      </c>
      <c r="G76">
        <v>0</v>
      </c>
    </row>
    <row r="77" spans="1:7" x14ac:dyDescent="0.3">
      <c r="A77" s="3" t="s">
        <v>143</v>
      </c>
      <c r="B77">
        <f>Larvae!F99-Larvae!C99+1</f>
        <v>6</v>
      </c>
      <c r="C77">
        <v>1</v>
      </c>
      <c r="E77" t="s">
        <v>125</v>
      </c>
      <c r="F77" t="s">
        <v>299</v>
      </c>
      <c r="G77">
        <v>0</v>
      </c>
    </row>
    <row r="78" spans="1:7" x14ac:dyDescent="0.3">
      <c r="A78" s="7" t="s">
        <v>144</v>
      </c>
      <c r="B78">
        <f>1</f>
        <v>1</v>
      </c>
      <c r="C78">
        <v>1</v>
      </c>
      <c r="E78" t="s">
        <v>125</v>
      </c>
      <c r="F78" t="s">
        <v>299</v>
      </c>
      <c r="G78">
        <v>0</v>
      </c>
    </row>
    <row r="79" spans="1:7" x14ac:dyDescent="0.3">
      <c r="A79" s="3" t="s">
        <v>145</v>
      </c>
      <c r="B79">
        <v>1</v>
      </c>
      <c r="C79">
        <v>1</v>
      </c>
      <c r="E79" t="s">
        <v>125</v>
      </c>
      <c r="F79" t="s">
        <v>299</v>
      </c>
      <c r="G79">
        <v>0</v>
      </c>
    </row>
    <row r="80" spans="1:7" x14ac:dyDescent="0.3">
      <c r="A80" s="7" t="s">
        <v>146</v>
      </c>
      <c r="B80">
        <f>1</f>
        <v>1</v>
      </c>
      <c r="C80">
        <v>1</v>
      </c>
      <c r="E80" t="s">
        <v>125</v>
      </c>
      <c r="F80" t="s">
        <v>299</v>
      </c>
      <c r="G80">
        <v>0</v>
      </c>
    </row>
    <row r="81" spans="1:7" x14ac:dyDescent="0.3">
      <c r="A81" s="3" t="s">
        <v>147</v>
      </c>
      <c r="B81">
        <f>1</f>
        <v>1</v>
      </c>
      <c r="C81">
        <v>1</v>
      </c>
      <c r="E81" t="s">
        <v>125</v>
      </c>
      <c r="F81" t="s">
        <v>299</v>
      </c>
      <c r="G81">
        <v>0</v>
      </c>
    </row>
    <row r="82" spans="1:7" x14ac:dyDescent="0.3">
      <c r="A82" s="7" t="s">
        <v>148</v>
      </c>
      <c r="B82">
        <f>Larvae!F104-Larvae!C104+1</f>
        <v>6</v>
      </c>
      <c r="C82">
        <v>1</v>
      </c>
      <c r="E82" t="s">
        <v>125</v>
      </c>
      <c r="F82" t="s">
        <v>299</v>
      </c>
      <c r="G82">
        <v>0</v>
      </c>
    </row>
    <row r="83" spans="1:7" x14ac:dyDescent="0.3">
      <c r="A83" s="3" t="s">
        <v>149</v>
      </c>
      <c r="B83">
        <f>Larvae!H105-Larvae!C105+1</f>
        <v>8</v>
      </c>
      <c r="C83">
        <v>1</v>
      </c>
      <c r="E83" t="s">
        <v>125</v>
      </c>
      <c r="F83" t="s">
        <v>299</v>
      </c>
      <c r="G83">
        <v>0</v>
      </c>
    </row>
    <row r="85" spans="1:7" x14ac:dyDescent="0.3">
      <c r="A85" t="s">
        <v>349</v>
      </c>
      <c r="B85" t="s">
        <v>350</v>
      </c>
      <c r="C85" t="s">
        <v>351</v>
      </c>
      <c r="D85" t="s">
        <v>352</v>
      </c>
      <c r="E85" t="s">
        <v>150</v>
      </c>
      <c r="F85" t="s">
        <v>2</v>
      </c>
      <c r="G85" t="s">
        <v>358</v>
      </c>
    </row>
    <row r="86" spans="1:7" x14ac:dyDescent="0.3">
      <c r="A86" s="6" t="s">
        <v>187</v>
      </c>
      <c r="B86">
        <f>Larvae!R108-Larvae!C108</f>
        <v>18</v>
      </c>
      <c r="C86">
        <v>0</v>
      </c>
      <c r="E86" t="s">
        <v>14</v>
      </c>
      <c r="F86" t="s">
        <v>15</v>
      </c>
      <c r="G86">
        <v>1</v>
      </c>
    </row>
    <row r="87" spans="1:7" x14ac:dyDescent="0.3">
      <c r="A87" s="6" t="s">
        <v>188</v>
      </c>
      <c r="B87">
        <f>Larvae!X109-Larvae!C109</f>
        <v>21</v>
      </c>
      <c r="C87">
        <v>0</v>
      </c>
      <c r="E87" t="s">
        <v>14</v>
      </c>
      <c r="F87" t="s">
        <v>15</v>
      </c>
      <c r="G87">
        <v>1</v>
      </c>
    </row>
    <row r="88" spans="1:7" x14ac:dyDescent="0.3">
      <c r="A88" s="7" t="s">
        <v>189</v>
      </c>
      <c r="B88">
        <f>1</f>
        <v>1</v>
      </c>
      <c r="C88">
        <v>1</v>
      </c>
      <c r="E88" t="s">
        <v>14</v>
      </c>
      <c r="F88" t="s">
        <v>15</v>
      </c>
      <c r="G88">
        <v>0</v>
      </c>
    </row>
    <row r="89" spans="1:7" x14ac:dyDescent="0.3">
      <c r="A89" s="6" t="s">
        <v>190</v>
      </c>
      <c r="B89">
        <f>Larvae!R111-Larvae!C111</f>
        <v>18</v>
      </c>
      <c r="C89">
        <v>0</v>
      </c>
      <c r="E89" t="s">
        <v>14</v>
      </c>
      <c r="F89" t="s">
        <v>15</v>
      </c>
      <c r="G89">
        <v>1</v>
      </c>
    </row>
    <row r="90" spans="1:7" x14ac:dyDescent="0.3">
      <c r="A90" s="7" t="s">
        <v>191</v>
      </c>
      <c r="B90">
        <f>1</f>
        <v>1</v>
      </c>
      <c r="C90">
        <v>1</v>
      </c>
      <c r="E90" t="s">
        <v>14</v>
      </c>
      <c r="F90" t="s">
        <v>15</v>
      </c>
      <c r="G90">
        <v>0</v>
      </c>
    </row>
    <row r="91" spans="1:7" x14ac:dyDescent="0.3">
      <c r="A91" s="6" t="s">
        <v>192</v>
      </c>
      <c r="B91">
        <f>Larvae!X113-Larvae!C113</f>
        <v>21</v>
      </c>
      <c r="C91">
        <v>0</v>
      </c>
      <c r="E91" t="s">
        <v>14</v>
      </c>
      <c r="F91" t="s">
        <v>15</v>
      </c>
      <c r="G91">
        <v>1</v>
      </c>
    </row>
    <row r="92" spans="1:7" x14ac:dyDescent="0.3">
      <c r="A92" s="6" t="s">
        <v>193</v>
      </c>
      <c r="B92">
        <f>Larvae!R114-Larvae!C114</f>
        <v>18</v>
      </c>
      <c r="C92">
        <v>0</v>
      </c>
      <c r="E92" t="s">
        <v>14</v>
      </c>
      <c r="F92" t="s">
        <v>15</v>
      </c>
      <c r="G92">
        <v>1</v>
      </c>
    </row>
    <row r="93" spans="1:7" x14ac:dyDescent="0.3">
      <c r="A93" s="6" t="s">
        <v>194</v>
      </c>
      <c r="B93">
        <f>Larvae!T115-Larvae!C115</f>
        <v>19</v>
      </c>
      <c r="C93">
        <v>0</v>
      </c>
      <c r="E93" t="s">
        <v>14</v>
      </c>
      <c r="F93" t="s">
        <v>15</v>
      </c>
      <c r="G93">
        <v>1</v>
      </c>
    </row>
    <row r="94" spans="1:7" x14ac:dyDescent="0.3">
      <c r="A94" s="6" t="s">
        <v>195</v>
      </c>
      <c r="B94">
        <f>Larvae!T116-Larvae!C116</f>
        <v>19</v>
      </c>
      <c r="C94">
        <v>0</v>
      </c>
      <c r="E94" t="s">
        <v>14</v>
      </c>
      <c r="F94" t="s">
        <v>15</v>
      </c>
      <c r="G94">
        <v>1</v>
      </c>
    </row>
    <row r="95" spans="1:7" x14ac:dyDescent="0.3">
      <c r="A95" s="7" t="s">
        <v>196</v>
      </c>
      <c r="B95">
        <f>1</f>
        <v>1</v>
      </c>
      <c r="C95">
        <v>1</v>
      </c>
      <c r="E95" t="s">
        <v>14</v>
      </c>
      <c r="F95" t="s">
        <v>15</v>
      </c>
      <c r="G95">
        <v>0</v>
      </c>
    </row>
    <row r="96" spans="1:7" x14ac:dyDescent="0.3">
      <c r="A96" s="6" t="s">
        <v>197</v>
      </c>
      <c r="B96">
        <f>Larvae!X118-Larvae!C118</f>
        <v>21</v>
      </c>
      <c r="C96">
        <v>0</v>
      </c>
      <c r="E96" t="s">
        <v>14</v>
      </c>
      <c r="F96" t="s">
        <v>15</v>
      </c>
      <c r="G96">
        <v>1</v>
      </c>
    </row>
    <row r="97" spans="1:7" x14ac:dyDescent="0.3">
      <c r="A97" s="6" t="s">
        <v>198</v>
      </c>
      <c r="B97">
        <f>Larvae!P119-Larvae!C119</f>
        <v>16</v>
      </c>
      <c r="C97">
        <v>0</v>
      </c>
      <c r="E97" t="s">
        <v>14</v>
      </c>
      <c r="F97" t="s">
        <v>15</v>
      </c>
      <c r="G97">
        <v>1</v>
      </c>
    </row>
    <row r="98" spans="1:7" x14ac:dyDescent="0.3">
      <c r="A98" s="6" t="s">
        <v>199</v>
      </c>
      <c r="B98">
        <f>Larvae!R120-Larvae!C120</f>
        <v>18</v>
      </c>
      <c r="C98">
        <v>0</v>
      </c>
      <c r="E98" t="s">
        <v>14</v>
      </c>
      <c r="F98" t="s">
        <v>356</v>
      </c>
      <c r="G98">
        <v>1</v>
      </c>
    </row>
    <row r="99" spans="1:7" x14ac:dyDescent="0.3">
      <c r="A99" s="6" t="s">
        <v>200</v>
      </c>
      <c r="B99">
        <f>Larvae!X121-Larvae!C121</f>
        <v>21</v>
      </c>
      <c r="C99">
        <v>0</v>
      </c>
      <c r="E99" t="s">
        <v>14</v>
      </c>
      <c r="F99" t="s">
        <v>356</v>
      </c>
      <c r="G99">
        <v>1</v>
      </c>
    </row>
    <row r="100" spans="1:7" x14ac:dyDescent="0.3">
      <c r="A100" s="3" t="s">
        <v>201</v>
      </c>
      <c r="B100">
        <f>1</f>
        <v>1</v>
      </c>
      <c r="C100">
        <v>1</v>
      </c>
      <c r="E100" t="s">
        <v>14</v>
      </c>
      <c r="F100" t="s">
        <v>356</v>
      </c>
      <c r="G100">
        <v>0</v>
      </c>
    </row>
    <row r="101" spans="1:7" x14ac:dyDescent="0.3">
      <c r="A101" s="7" t="s">
        <v>202</v>
      </c>
      <c r="B101">
        <f>1</f>
        <v>1</v>
      </c>
      <c r="C101">
        <v>1</v>
      </c>
      <c r="E101" t="s">
        <v>14</v>
      </c>
      <c r="F101" t="s">
        <v>356</v>
      </c>
      <c r="G101">
        <v>0</v>
      </c>
    </row>
    <row r="102" spans="1:7" x14ac:dyDescent="0.3">
      <c r="A102" s="6" t="s">
        <v>203</v>
      </c>
      <c r="B102">
        <f>Larvae!AF124-Larvae!C124</f>
        <v>25</v>
      </c>
      <c r="C102">
        <v>0</v>
      </c>
      <c r="E102" t="s">
        <v>14</v>
      </c>
      <c r="F102" t="s">
        <v>356</v>
      </c>
      <c r="G102">
        <v>1</v>
      </c>
    </row>
    <row r="103" spans="1:7" x14ac:dyDescent="0.3">
      <c r="A103" s="6" t="s">
        <v>204</v>
      </c>
      <c r="B103">
        <f>Larvae!X125-Larvae!C125</f>
        <v>21</v>
      </c>
      <c r="C103">
        <v>0</v>
      </c>
      <c r="E103" t="s">
        <v>14</v>
      </c>
      <c r="F103" t="s">
        <v>356</v>
      </c>
      <c r="G103">
        <v>1</v>
      </c>
    </row>
    <row r="104" spans="1:7" x14ac:dyDescent="0.3">
      <c r="A104" s="6" t="s">
        <v>205</v>
      </c>
      <c r="B104">
        <f>Larvae!T126-Larvae!C126</f>
        <v>19</v>
      </c>
      <c r="C104">
        <v>0</v>
      </c>
      <c r="E104" t="s">
        <v>14</v>
      </c>
      <c r="F104" t="s">
        <v>356</v>
      </c>
      <c r="G104">
        <v>1</v>
      </c>
    </row>
    <row r="105" spans="1:7" x14ac:dyDescent="0.3">
      <c r="A105" s="6" t="s">
        <v>206</v>
      </c>
      <c r="B105">
        <f>Larvae!X127-Larvae!C127</f>
        <v>21</v>
      </c>
      <c r="C105">
        <v>0</v>
      </c>
      <c r="E105" t="s">
        <v>14</v>
      </c>
      <c r="F105" t="s">
        <v>356</v>
      </c>
      <c r="G105">
        <v>1</v>
      </c>
    </row>
    <row r="106" spans="1:7" x14ac:dyDescent="0.3">
      <c r="A106" s="6" t="s">
        <v>207</v>
      </c>
      <c r="B106">
        <f>Larvae!T128-Larvae!C128</f>
        <v>19</v>
      </c>
      <c r="C106">
        <v>0</v>
      </c>
      <c r="E106" t="s">
        <v>14</v>
      </c>
      <c r="F106" t="s">
        <v>356</v>
      </c>
      <c r="G106">
        <v>1</v>
      </c>
    </row>
    <row r="107" spans="1:7" x14ac:dyDescent="0.3">
      <c r="A107" s="6" t="s">
        <v>208</v>
      </c>
      <c r="B107">
        <f>Larvae!R129-Larvae!C129</f>
        <v>18</v>
      </c>
      <c r="C107">
        <v>0</v>
      </c>
      <c r="E107" t="s">
        <v>14</v>
      </c>
      <c r="F107" t="s">
        <v>356</v>
      </c>
      <c r="G107">
        <v>1</v>
      </c>
    </row>
    <row r="108" spans="1:7" x14ac:dyDescent="0.3">
      <c r="A108" s="7" t="s">
        <v>209</v>
      </c>
      <c r="B108">
        <f>1</f>
        <v>1</v>
      </c>
      <c r="C108">
        <v>1</v>
      </c>
      <c r="E108" t="s">
        <v>14</v>
      </c>
      <c r="F108" t="s">
        <v>356</v>
      </c>
      <c r="G108">
        <v>0</v>
      </c>
    </row>
    <row r="109" spans="1:7" x14ac:dyDescent="0.3">
      <c r="A109" s="6" t="s">
        <v>210</v>
      </c>
      <c r="B109">
        <f>Larvae!R131-Larvae!C131</f>
        <v>18</v>
      </c>
      <c r="C109">
        <v>0</v>
      </c>
      <c r="E109" t="s">
        <v>14</v>
      </c>
      <c r="F109" t="s">
        <v>356</v>
      </c>
      <c r="G109">
        <v>1</v>
      </c>
    </row>
    <row r="113" spans="1:7" x14ac:dyDescent="0.3">
      <c r="A113" t="s">
        <v>349</v>
      </c>
      <c r="B113" t="s">
        <v>350</v>
      </c>
      <c r="C113" t="s">
        <v>351</v>
      </c>
      <c r="D113" t="s">
        <v>352</v>
      </c>
      <c r="E113" t="s">
        <v>150</v>
      </c>
      <c r="F113" t="s">
        <v>2</v>
      </c>
      <c r="G113" t="s">
        <v>358</v>
      </c>
    </row>
    <row r="114" spans="1:7" x14ac:dyDescent="0.3">
      <c r="A114" s="6" t="s">
        <v>223</v>
      </c>
      <c r="B114">
        <f>Larvae!AB132-Larvae!C132</f>
        <v>23</v>
      </c>
      <c r="C114">
        <v>0</v>
      </c>
      <c r="E114" t="s">
        <v>280</v>
      </c>
      <c r="F114" t="s">
        <v>15</v>
      </c>
      <c r="G114">
        <v>1</v>
      </c>
    </row>
    <row r="115" spans="1:7" x14ac:dyDescent="0.3">
      <c r="A115" s="6" t="s">
        <v>224</v>
      </c>
      <c r="B115">
        <f>Larvae!X133-Larvae!C133</f>
        <v>21</v>
      </c>
      <c r="C115">
        <v>0</v>
      </c>
      <c r="E115" t="s">
        <v>280</v>
      </c>
      <c r="F115" t="s">
        <v>15</v>
      </c>
      <c r="G115">
        <v>1</v>
      </c>
    </row>
    <row r="116" spans="1:7" x14ac:dyDescent="0.3">
      <c r="A116" s="3" t="s">
        <v>225</v>
      </c>
      <c r="B116">
        <f>1</f>
        <v>1</v>
      </c>
      <c r="C116">
        <v>1</v>
      </c>
      <c r="E116" t="s">
        <v>280</v>
      </c>
      <c r="F116" t="s">
        <v>15</v>
      </c>
      <c r="G116">
        <v>0</v>
      </c>
    </row>
    <row r="117" spans="1:7" x14ac:dyDescent="0.3">
      <c r="A117" s="7" t="s">
        <v>359</v>
      </c>
      <c r="B117">
        <f>1</f>
        <v>1</v>
      </c>
      <c r="C117">
        <v>1</v>
      </c>
      <c r="E117" t="s">
        <v>280</v>
      </c>
      <c r="F117" t="s">
        <v>15</v>
      </c>
      <c r="G117">
        <v>0</v>
      </c>
    </row>
    <row r="118" spans="1:7" x14ac:dyDescent="0.3">
      <c r="A118" s="7" t="s">
        <v>227</v>
      </c>
      <c r="B118">
        <f>Larvae!F136-Larvae!C136+1</f>
        <v>6</v>
      </c>
      <c r="C118">
        <v>1</v>
      </c>
      <c r="E118" t="s">
        <v>280</v>
      </c>
      <c r="F118" t="s">
        <v>15</v>
      </c>
      <c r="G118">
        <v>0</v>
      </c>
    </row>
    <row r="119" spans="1:7" x14ac:dyDescent="0.3">
      <c r="A119" s="7" t="s">
        <v>228</v>
      </c>
      <c r="B119">
        <f>1</f>
        <v>1</v>
      </c>
      <c r="C119">
        <v>1</v>
      </c>
      <c r="E119" t="s">
        <v>280</v>
      </c>
      <c r="F119" t="s">
        <v>15</v>
      </c>
      <c r="G119">
        <v>0</v>
      </c>
    </row>
    <row r="120" spans="1:7" x14ac:dyDescent="0.3">
      <c r="A120" s="3" t="s">
        <v>229</v>
      </c>
      <c r="B120">
        <f>1</f>
        <v>1</v>
      </c>
      <c r="C120">
        <v>1</v>
      </c>
      <c r="E120" t="s">
        <v>280</v>
      </c>
      <c r="F120" t="s">
        <v>15</v>
      </c>
      <c r="G120">
        <v>0</v>
      </c>
    </row>
    <row r="121" spans="1:7" x14ac:dyDescent="0.3">
      <c r="A121" s="3" t="s">
        <v>230</v>
      </c>
      <c r="B121">
        <f>1</f>
        <v>1</v>
      </c>
      <c r="C121">
        <v>1</v>
      </c>
      <c r="E121" t="s">
        <v>280</v>
      </c>
      <c r="F121" t="s">
        <v>15</v>
      </c>
      <c r="G121">
        <v>0</v>
      </c>
    </row>
    <row r="122" spans="1:7" x14ac:dyDescent="0.3">
      <c r="A122" s="3" t="s">
        <v>231</v>
      </c>
      <c r="B122">
        <f>Larvae!D140-Larvae!C140 +1</f>
        <v>3</v>
      </c>
      <c r="C122">
        <v>1</v>
      </c>
      <c r="E122" t="s">
        <v>280</v>
      </c>
      <c r="F122" t="s">
        <v>15</v>
      </c>
      <c r="G122">
        <v>0</v>
      </c>
    </row>
    <row r="123" spans="1:7" x14ac:dyDescent="0.3">
      <c r="A123" s="7" t="s">
        <v>232</v>
      </c>
      <c r="B123">
        <v>1</v>
      </c>
      <c r="C123">
        <v>1</v>
      </c>
      <c r="E123" t="s">
        <v>280</v>
      </c>
      <c r="F123" t="s">
        <v>15</v>
      </c>
      <c r="G123">
        <v>0</v>
      </c>
    </row>
    <row r="124" spans="1:7" x14ac:dyDescent="0.3">
      <c r="A124" s="3" t="s">
        <v>233</v>
      </c>
      <c r="B124">
        <f>1</f>
        <v>1</v>
      </c>
      <c r="C124">
        <v>1</v>
      </c>
      <c r="E124" t="s">
        <v>280</v>
      </c>
      <c r="F124" t="s">
        <v>15</v>
      </c>
      <c r="G124">
        <v>0</v>
      </c>
    </row>
    <row r="125" spans="1:7" x14ac:dyDescent="0.3">
      <c r="A125" s="6" t="s">
        <v>234</v>
      </c>
      <c r="B125">
        <f>Larvae!AH143-Larvae!C143</f>
        <v>26</v>
      </c>
      <c r="C125">
        <v>0</v>
      </c>
      <c r="E125" t="s">
        <v>280</v>
      </c>
      <c r="F125" t="s">
        <v>15</v>
      </c>
      <c r="G125">
        <v>1</v>
      </c>
    </row>
    <row r="126" spans="1:7" x14ac:dyDescent="0.3">
      <c r="A126" s="3" t="s">
        <v>235</v>
      </c>
      <c r="B126">
        <f>Larvae!H144-Larvae!C144+1</f>
        <v>8</v>
      </c>
      <c r="C126">
        <v>1</v>
      </c>
      <c r="E126" t="s">
        <v>280</v>
      </c>
      <c r="F126" t="s">
        <v>356</v>
      </c>
      <c r="G126">
        <v>0</v>
      </c>
    </row>
    <row r="127" spans="1:7" x14ac:dyDescent="0.3">
      <c r="A127" s="7" t="s">
        <v>236</v>
      </c>
      <c r="B127">
        <f>1</f>
        <v>1</v>
      </c>
      <c r="C127">
        <v>1</v>
      </c>
      <c r="E127" t="s">
        <v>280</v>
      </c>
      <c r="F127" t="s">
        <v>356</v>
      </c>
      <c r="G127">
        <v>0</v>
      </c>
    </row>
    <row r="128" spans="1:7" x14ac:dyDescent="0.3">
      <c r="A128" s="6" t="s">
        <v>237</v>
      </c>
      <c r="B128">
        <f>Larvae!BD146-Larvae!C146</f>
        <v>39</v>
      </c>
      <c r="C128">
        <v>0</v>
      </c>
      <c r="E128" t="s">
        <v>280</v>
      </c>
      <c r="F128" t="s">
        <v>356</v>
      </c>
      <c r="G128">
        <v>1</v>
      </c>
    </row>
    <row r="129" spans="1:7" x14ac:dyDescent="0.3">
      <c r="A129" s="7" t="s">
        <v>238</v>
      </c>
      <c r="B129">
        <f>Larvae!D147-Larvae!C147+1</f>
        <v>3</v>
      </c>
      <c r="C129">
        <v>1</v>
      </c>
      <c r="E129" t="s">
        <v>280</v>
      </c>
      <c r="F129" t="s">
        <v>356</v>
      </c>
      <c r="G129">
        <v>0</v>
      </c>
    </row>
    <row r="130" spans="1:7" x14ac:dyDescent="0.3">
      <c r="A130" s="7" t="s">
        <v>239</v>
      </c>
      <c r="B130">
        <f>Larvae!D148-Larvae!C148+1</f>
        <v>3</v>
      </c>
      <c r="C130">
        <v>1</v>
      </c>
      <c r="E130" t="s">
        <v>280</v>
      </c>
      <c r="F130" t="s">
        <v>356</v>
      </c>
      <c r="G130">
        <v>0</v>
      </c>
    </row>
    <row r="131" spans="1:7" x14ac:dyDescent="0.3">
      <c r="A131" s="6" t="s">
        <v>240</v>
      </c>
      <c r="B131">
        <f>Larvae!P149-Larvae!C149</f>
        <v>16</v>
      </c>
      <c r="C131">
        <v>0</v>
      </c>
      <c r="E131" t="s">
        <v>280</v>
      </c>
      <c r="F131" t="s">
        <v>356</v>
      </c>
      <c r="G131">
        <v>1</v>
      </c>
    </row>
    <row r="132" spans="1:7" x14ac:dyDescent="0.3">
      <c r="A132" s="3" t="s">
        <v>241</v>
      </c>
      <c r="B132">
        <f>Larvae!D150-Larvae!C150+1</f>
        <v>3</v>
      </c>
      <c r="C132">
        <v>1</v>
      </c>
      <c r="E132" t="s">
        <v>280</v>
      </c>
      <c r="F132" t="s">
        <v>356</v>
      </c>
      <c r="G132">
        <v>0</v>
      </c>
    </row>
    <row r="133" spans="1:7" x14ac:dyDescent="0.3">
      <c r="A133" s="6" t="s">
        <v>242</v>
      </c>
      <c r="B133">
        <f>Larvae!AR151-Larvae!C151</f>
        <v>33</v>
      </c>
      <c r="C133">
        <v>0</v>
      </c>
      <c r="E133" t="s">
        <v>280</v>
      </c>
      <c r="F133" t="s">
        <v>356</v>
      </c>
      <c r="G133">
        <v>1</v>
      </c>
    </row>
    <row r="134" spans="1:7" x14ac:dyDescent="0.3">
      <c r="A134" s="7" t="s">
        <v>243</v>
      </c>
      <c r="B134">
        <f>1</f>
        <v>1</v>
      </c>
      <c r="C134">
        <v>1</v>
      </c>
      <c r="E134" t="s">
        <v>280</v>
      </c>
      <c r="F134" t="s">
        <v>356</v>
      </c>
      <c r="G134">
        <v>0</v>
      </c>
    </row>
    <row r="135" spans="1:7" x14ac:dyDescent="0.3">
      <c r="A135" s="7" t="s">
        <v>244</v>
      </c>
      <c r="B135">
        <f>1</f>
        <v>1</v>
      </c>
      <c r="C135">
        <v>1</v>
      </c>
      <c r="E135" t="s">
        <v>280</v>
      </c>
      <c r="F135" t="s">
        <v>356</v>
      </c>
      <c r="G135">
        <v>0</v>
      </c>
    </row>
    <row r="136" spans="1:7" x14ac:dyDescent="0.3">
      <c r="A136" s="3" t="s">
        <v>245</v>
      </c>
      <c r="B136">
        <f>1</f>
        <v>1</v>
      </c>
      <c r="C136">
        <v>1</v>
      </c>
      <c r="E136" t="s">
        <v>280</v>
      </c>
      <c r="F136" t="s">
        <v>356</v>
      </c>
      <c r="G136">
        <v>0</v>
      </c>
    </row>
    <row r="137" spans="1:7" x14ac:dyDescent="0.3">
      <c r="A137" s="7" t="s">
        <v>246</v>
      </c>
      <c r="B137">
        <f>Larvae!F155-Larvae!C155+1</f>
        <v>6</v>
      </c>
      <c r="C137">
        <v>1</v>
      </c>
      <c r="E137" t="s">
        <v>280</v>
      </c>
      <c r="F137" t="s">
        <v>356</v>
      </c>
      <c r="G137">
        <v>0</v>
      </c>
    </row>
    <row r="142" spans="1:7" x14ac:dyDescent="0.3">
      <c r="A142" t="s">
        <v>349</v>
      </c>
      <c r="B142" t="s">
        <v>350</v>
      </c>
      <c r="C142" t="s">
        <v>351</v>
      </c>
      <c r="D142" t="s">
        <v>352</v>
      </c>
      <c r="E142" t="s">
        <v>150</v>
      </c>
      <c r="F142" t="s">
        <v>2</v>
      </c>
      <c r="G142" t="s">
        <v>358</v>
      </c>
    </row>
    <row r="143" spans="1:7" x14ac:dyDescent="0.3">
      <c r="A143" s="14" t="s">
        <v>249</v>
      </c>
      <c r="B143">
        <f>1</f>
        <v>1</v>
      </c>
      <c r="C143">
        <v>1</v>
      </c>
      <c r="E143" t="s">
        <v>281</v>
      </c>
      <c r="F143" t="s">
        <v>15</v>
      </c>
      <c r="G143">
        <v>0</v>
      </c>
    </row>
    <row r="144" spans="1:7" x14ac:dyDescent="0.3">
      <c r="A144" s="14" t="s">
        <v>251</v>
      </c>
      <c r="B144">
        <f>Larvae!D157-Larvae!C157+1</f>
        <v>3</v>
      </c>
      <c r="C144">
        <v>1</v>
      </c>
      <c r="E144" t="s">
        <v>281</v>
      </c>
      <c r="F144" t="s">
        <v>15</v>
      </c>
      <c r="G144">
        <v>0</v>
      </c>
    </row>
    <row r="145" spans="1:7" x14ac:dyDescent="0.3">
      <c r="A145" s="14" t="s">
        <v>252</v>
      </c>
      <c r="B145">
        <f>Larvae!X158-Larvae!C158+1</f>
        <v>22</v>
      </c>
      <c r="C145">
        <v>1</v>
      </c>
      <c r="E145" t="s">
        <v>281</v>
      </c>
      <c r="F145" t="s">
        <v>15</v>
      </c>
      <c r="G145">
        <v>0</v>
      </c>
    </row>
    <row r="146" spans="1:7" x14ac:dyDescent="0.3">
      <c r="A146" s="11" t="s">
        <v>250</v>
      </c>
      <c r="B146">
        <f>Larvae!F159-Larvae!C159+1</f>
        <v>6</v>
      </c>
      <c r="C146">
        <v>1</v>
      </c>
      <c r="E146" t="s">
        <v>281</v>
      </c>
      <c r="F146" t="s">
        <v>15</v>
      </c>
      <c r="G146">
        <v>0</v>
      </c>
    </row>
    <row r="147" spans="1:7" x14ac:dyDescent="0.3">
      <c r="A147" s="14" t="s">
        <v>253</v>
      </c>
      <c r="B147">
        <f>Larvae!D160-Larvae!C160+1</f>
        <v>3</v>
      </c>
      <c r="C147">
        <v>1</v>
      </c>
      <c r="E147" t="s">
        <v>281</v>
      </c>
      <c r="F147" t="s">
        <v>15</v>
      </c>
      <c r="G147">
        <v>0</v>
      </c>
    </row>
    <row r="148" spans="1:7" x14ac:dyDescent="0.3">
      <c r="A148" s="14" t="s">
        <v>254</v>
      </c>
      <c r="B148">
        <f>1</f>
        <v>1</v>
      </c>
      <c r="C148">
        <v>1</v>
      </c>
      <c r="E148" t="s">
        <v>281</v>
      </c>
      <c r="F148" t="s">
        <v>15</v>
      </c>
      <c r="G148">
        <v>0</v>
      </c>
    </row>
    <row r="149" spans="1:7" x14ac:dyDescent="0.3">
      <c r="A149" s="14" t="s">
        <v>255</v>
      </c>
      <c r="B149">
        <f>Larvae!D162-Larvae!C162+1</f>
        <v>3</v>
      </c>
      <c r="C149">
        <v>1</v>
      </c>
      <c r="E149" t="s">
        <v>281</v>
      </c>
      <c r="F149" t="s">
        <v>15</v>
      </c>
      <c r="G149">
        <v>0</v>
      </c>
    </row>
    <row r="150" spans="1:7" x14ac:dyDescent="0.3">
      <c r="A150" s="16" t="s">
        <v>256</v>
      </c>
      <c r="B150">
        <f>Larvae!T163-Larvae!C163</f>
        <v>19</v>
      </c>
      <c r="C150">
        <v>0</v>
      </c>
      <c r="E150" t="s">
        <v>281</v>
      </c>
      <c r="F150" t="s">
        <v>15</v>
      </c>
      <c r="G150">
        <v>1</v>
      </c>
    </row>
    <row r="151" spans="1:7" x14ac:dyDescent="0.3">
      <c r="A151" s="16" t="s">
        <v>257</v>
      </c>
      <c r="B151">
        <f>Larvae!AB164-Larvae!C164</f>
        <v>23</v>
      </c>
      <c r="C151">
        <v>0</v>
      </c>
      <c r="E151" t="s">
        <v>281</v>
      </c>
      <c r="F151" t="s">
        <v>15</v>
      </c>
      <c r="G151">
        <v>1</v>
      </c>
    </row>
    <row r="152" spans="1:7" x14ac:dyDescent="0.3">
      <c r="A152" s="14" t="s">
        <v>258</v>
      </c>
      <c r="B152">
        <f>Larvae!D165-Larvae!C165+1</f>
        <v>3</v>
      </c>
      <c r="C152">
        <v>1</v>
      </c>
      <c r="E152" t="s">
        <v>281</v>
      </c>
      <c r="F152" t="s">
        <v>15</v>
      </c>
      <c r="G152">
        <v>0</v>
      </c>
    </row>
    <row r="153" spans="1:7" x14ac:dyDescent="0.3">
      <c r="A153" s="11" t="s">
        <v>259</v>
      </c>
      <c r="B153">
        <f>Larvae!AP166-Larvae!C166+1</f>
        <v>31</v>
      </c>
      <c r="C153">
        <v>1</v>
      </c>
      <c r="E153" t="s">
        <v>281</v>
      </c>
      <c r="F153" t="s">
        <v>15</v>
      </c>
      <c r="G153">
        <v>0</v>
      </c>
    </row>
    <row r="154" spans="1:7" x14ac:dyDescent="0.3">
      <c r="A154" s="14" t="s">
        <v>260</v>
      </c>
      <c r="B154">
        <f>Larvae!X167-Larvae!C167+1</f>
        <v>22</v>
      </c>
      <c r="C154">
        <v>1</v>
      </c>
      <c r="E154" t="s">
        <v>281</v>
      </c>
      <c r="F154" t="s">
        <v>15</v>
      </c>
      <c r="G154">
        <v>0</v>
      </c>
    </row>
    <row r="155" spans="1:7" x14ac:dyDescent="0.3">
      <c r="A155" s="11" t="s">
        <v>261</v>
      </c>
      <c r="B155">
        <f>1</f>
        <v>1</v>
      </c>
      <c r="C155">
        <v>1</v>
      </c>
      <c r="E155" t="s">
        <v>281</v>
      </c>
      <c r="F155" t="s">
        <v>356</v>
      </c>
      <c r="G155">
        <v>0</v>
      </c>
    </row>
    <row r="156" spans="1:7" x14ac:dyDescent="0.3">
      <c r="A156" s="14" t="s">
        <v>262</v>
      </c>
      <c r="B156">
        <f>1</f>
        <v>1</v>
      </c>
      <c r="C156">
        <v>1</v>
      </c>
      <c r="E156" t="s">
        <v>281</v>
      </c>
      <c r="F156" t="s">
        <v>356</v>
      </c>
      <c r="G156">
        <v>0</v>
      </c>
    </row>
    <row r="157" spans="1:7" x14ac:dyDescent="0.3">
      <c r="A157" s="16" t="s">
        <v>263</v>
      </c>
      <c r="B157">
        <f>Larvae!AP170-Larvae!C170</f>
        <v>30</v>
      </c>
      <c r="C157">
        <v>0</v>
      </c>
      <c r="E157" t="s">
        <v>281</v>
      </c>
      <c r="F157" t="s">
        <v>356</v>
      </c>
      <c r="G157">
        <v>1</v>
      </c>
    </row>
    <row r="158" spans="1:7" x14ac:dyDescent="0.3">
      <c r="A158" s="14" t="s">
        <v>264</v>
      </c>
      <c r="B158">
        <f>1</f>
        <v>1</v>
      </c>
      <c r="C158">
        <v>1</v>
      </c>
      <c r="E158" t="s">
        <v>281</v>
      </c>
      <c r="F158" t="s">
        <v>356</v>
      </c>
      <c r="G158">
        <v>0</v>
      </c>
    </row>
    <row r="159" spans="1:7" x14ac:dyDescent="0.3">
      <c r="A159" s="14" t="s">
        <v>265</v>
      </c>
      <c r="B159">
        <f>Larvae!H172-Larvae!C172+1</f>
        <v>8</v>
      </c>
      <c r="C159">
        <v>1</v>
      </c>
      <c r="E159" t="s">
        <v>281</v>
      </c>
      <c r="F159" t="s">
        <v>356</v>
      </c>
      <c r="G159">
        <v>0</v>
      </c>
    </row>
    <row r="160" spans="1:7" x14ac:dyDescent="0.3">
      <c r="A160" s="14" t="s">
        <v>266</v>
      </c>
      <c r="B160">
        <f>Larvae!AL173-Larvae!C173+1</f>
        <v>29</v>
      </c>
      <c r="C160">
        <v>1</v>
      </c>
      <c r="E160" t="s">
        <v>281</v>
      </c>
      <c r="F160" t="s">
        <v>356</v>
      </c>
      <c r="G160">
        <v>0</v>
      </c>
    </row>
    <row r="161" spans="1:7" x14ac:dyDescent="0.3">
      <c r="A161" s="14" t="s">
        <v>267</v>
      </c>
      <c r="B161">
        <f>Larvae!T174-Larvae!C174</f>
        <v>19</v>
      </c>
      <c r="C161">
        <v>1</v>
      </c>
      <c r="E161" t="s">
        <v>281</v>
      </c>
      <c r="F161" t="s">
        <v>356</v>
      </c>
      <c r="G161">
        <v>0</v>
      </c>
    </row>
    <row r="162" spans="1:7" x14ac:dyDescent="0.3">
      <c r="A162" s="14" t="s">
        <v>268</v>
      </c>
      <c r="B162">
        <f>Larvae!D175-Larvae!C175+1</f>
        <v>3</v>
      </c>
      <c r="C162">
        <v>1</v>
      </c>
      <c r="E162" t="s">
        <v>281</v>
      </c>
      <c r="F162" t="s">
        <v>356</v>
      </c>
      <c r="G162">
        <v>0</v>
      </c>
    </row>
    <row r="163" spans="1:7" x14ac:dyDescent="0.3">
      <c r="A163" s="16" t="s">
        <v>269</v>
      </c>
      <c r="B163">
        <f>Larvae!AR176-Larvae!C176</f>
        <v>33</v>
      </c>
      <c r="C163">
        <v>0</v>
      </c>
      <c r="E163" t="s">
        <v>281</v>
      </c>
      <c r="F163" t="s">
        <v>356</v>
      </c>
      <c r="G163">
        <v>1</v>
      </c>
    </row>
    <row r="164" spans="1:7" x14ac:dyDescent="0.3">
      <c r="A164" s="11" t="s">
        <v>270</v>
      </c>
      <c r="B164">
        <f>1</f>
        <v>1</v>
      </c>
      <c r="C164">
        <v>1</v>
      </c>
      <c r="E164" t="s">
        <v>281</v>
      </c>
      <c r="F164" t="s">
        <v>356</v>
      </c>
      <c r="G164">
        <v>0</v>
      </c>
    </row>
    <row r="165" spans="1:7" x14ac:dyDescent="0.3">
      <c r="A165" s="14" t="s">
        <v>271</v>
      </c>
      <c r="B165">
        <f>Larvae!D178-Larvae!C178+1</f>
        <v>3</v>
      </c>
      <c r="C165">
        <v>1</v>
      </c>
      <c r="E165" t="s">
        <v>281</v>
      </c>
      <c r="F165" t="s">
        <v>356</v>
      </c>
      <c r="G165">
        <v>0</v>
      </c>
    </row>
    <row r="166" spans="1:7" x14ac:dyDescent="0.3">
      <c r="A166" s="14" t="s">
        <v>272</v>
      </c>
      <c r="B166">
        <f>Larvae!D179-Larvae!C179+1</f>
        <v>3</v>
      </c>
      <c r="C166">
        <v>1</v>
      </c>
      <c r="E166" t="s">
        <v>281</v>
      </c>
      <c r="F166" t="s">
        <v>356</v>
      </c>
      <c r="G166">
        <v>0</v>
      </c>
    </row>
    <row r="168" spans="1:7" x14ac:dyDescent="0.3">
      <c r="A168" t="s">
        <v>349</v>
      </c>
      <c r="B168" t="s">
        <v>350</v>
      </c>
      <c r="C168" t="s">
        <v>351</v>
      </c>
      <c r="D168" t="s">
        <v>352</v>
      </c>
      <c r="E168" t="s">
        <v>150</v>
      </c>
      <c r="F168" t="s">
        <v>2</v>
      </c>
      <c r="G168" t="s">
        <v>358</v>
      </c>
    </row>
    <row r="169" spans="1:7" x14ac:dyDescent="0.3">
      <c r="A169" s="9" t="s">
        <v>301</v>
      </c>
      <c r="B169">
        <f>1</f>
        <v>1</v>
      </c>
      <c r="C169">
        <v>1</v>
      </c>
      <c r="E169" t="s">
        <v>125</v>
      </c>
      <c r="F169" t="s">
        <v>15</v>
      </c>
      <c r="G169">
        <v>0</v>
      </c>
    </row>
    <row r="170" spans="1:7" x14ac:dyDescent="0.3">
      <c r="A170" s="5" t="s">
        <v>302</v>
      </c>
      <c r="B170">
        <f>Larvae!J184-Larvae!C184</f>
        <v>19</v>
      </c>
      <c r="C170">
        <v>0</v>
      </c>
      <c r="E170" t="s">
        <v>125</v>
      </c>
      <c r="F170" t="s">
        <v>15</v>
      </c>
      <c r="G170">
        <v>1</v>
      </c>
    </row>
    <row r="171" spans="1:7" x14ac:dyDescent="0.3">
      <c r="A171" s="5" t="s">
        <v>303</v>
      </c>
      <c r="B171">
        <f>Larvae!J185-Larvae!C185</f>
        <v>22</v>
      </c>
      <c r="C171">
        <v>0</v>
      </c>
      <c r="E171" t="s">
        <v>125</v>
      </c>
      <c r="F171" t="s">
        <v>15</v>
      </c>
      <c r="G171">
        <v>1</v>
      </c>
    </row>
    <row r="172" spans="1:7" x14ac:dyDescent="0.3">
      <c r="A172" s="5" t="s">
        <v>304</v>
      </c>
      <c r="B172">
        <f>Larvae!J186-Larvae!C186</f>
        <v>22</v>
      </c>
      <c r="C172">
        <v>0</v>
      </c>
      <c r="E172" t="s">
        <v>125</v>
      </c>
      <c r="F172" t="s">
        <v>15</v>
      </c>
      <c r="G172">
        <v>1</v>
      </c>
    </row>
    <row r="173" spans="1:7" x14ac:dyDescent="0.3">
      <c r="A173" s="5" t="s">
        <v>305</v>
      </c>
      <c r="B173">
        <f>Larvae!J187-Larvae!C187</f>
        <v>18</v>
      </c>
      <c r="C173">
        <v>0</v>
      </c>
      <c r="E173" t="s">
        <v>125</v>
      </c>
      <c r="F173" t="s">
        <v>15</v>
      </c>
      <c r="G173">
        <v>1</v>
      </c>
    </row>
    <row r="174" spans="1:7" x14ac:dyDescent="0.3">
      <c r="A174" s="9" t="s">
        <v>306</v>
      </c>
      <c r="B174">
        <f>Larvae!H188-Larvae!C188+1</f>
        <v>4</v>
      </c>
      <c r="C174">
        <v>1</v>
      </c>
      <c r="E174" t="s">
        <v>125</v>
      </c>
      <c r="F174" t="s">
        <v>15</v>
      </c>
      <c r="G174">
        <v>0</v>
      </c>
    </row>
    <row r="175" spans="1:7" x14ac:dyDescent="0.3">
      <c r="A175" s="9" t="s">
        <v>307</v>
      </c>
      <c r="B175">
        <f>1</f>
        <v>1</v>
      </c>
      <c r="C175">
        <v>1</v>
      </c>
      <c r="E175" t="s">
        <v>125</v>
      </c>
      <c r="F175" t="s">
        <v>15</v>
      </c>
      <c r="G175">
        <v>0</v>
      </c>
    </row>
    <row r="176" spans="1:7" x14ac:dyDescent="0.3">
      <c r="A176" s="5" t="s">
        <v>308</v>
      </c>
      <c r="B176">
        <f>Larvae!J190-Larvae!C190</f>
        <v>17</v>
      </c>
      <c r="C176">
        <v>0</v>
      </c>
      <c r="E176" t="s">
        <v>125</v>
      </c>
      <c r="F176" t="s">
        <v>15</v>
      </c>
      <c r="G176">
        <v>1</v>
      </c>
    </row>
    <row r="177" spans="1:7" x14ac:dyDescent="0.3">
      <c r="A177" s="9" t="s">
        <v>310</v>
      </c>
      <c r="B177">
        <f>Larvae!D192-Larvae!C192+1</f>
        <v>2</v>
      </c>
      <c r="C177">
        <v>1</v>
      </c>
      <c r="E177" t="s">
        <v>125</v>
      </c>
      <c r="F177" t="s">
        <v>15</v>
      </c>
      <c r="G177">
        <v>0</v>
      </c>
    </row>
    <row r="178" spans="1:7" x14ac:dyDescent="0.3">
      <c r="A178" s="9" t="s">
        <v>311</v>
      </c>
      <c r="B178">
        <f>Larvae!D193-Larvae!C193+1</f>
        <v>2</v>
      </c>
      <c r="C178">
        <v>1</v>
      </c>
      <c r="E178" t="s">
        <v>125</v>
      </c>
      <c r="F178" t="s">
        <v>15</v>
      </c>
      <c r="G178">
        <v>0</v>
      </c>
    </row>
    <row r="179" spans="1:7" x14ac:dyDescent="0.3">
      <c r="A179" s="9" t="s">
        <v>312</v>
      </c>
      <c r="B179">
        <f>1</f>
        <v>1</v>
      </c>
      <c r="C179">
        <v>1</v>
      </c>
      <c r="E179" t="s">
        <v>125</v>
      </c>
      <c r="F179" t="s">
        <v>299</v>
      </c>
      <c r="G179">
        <v>0</v>
      </c>
    </row>
    <row r="180" spans="1:7" x14ac:dyDescent="0.3">
      <c r="A180" s="9" t="s">
        <v>313</v>
      </c>
      <c r="B180">
        <f>Larvae!H195-Larvae!C195+1</f>
        <v>4</v>
      </c>
      <c r="C180">
        <v>1</v>
      </c>
      <c r="E180" t="s">
        <v>125</v>
      </c>
      <c r="F180" t="s">
        <v>299</v>
      </c>
      <c r="G180">
        <v>0</v>
      </c>
    </row>
    <row r="181" spans="1:7" x14ac:dyDescent="0.3">
      <c r="A181" s="9" t="s">
        <v>314</v>
      </c>
      <c r="B181">
        <f>1</f>
        <v>1</v>
      </c>
      <c r="C181">
        <v>1</v>
      </c>
      <c r="E181" t="s">
        <v>125</v>
      </c>
      <c r="F181" t="s">
        <v>299</v>
      </c>
      <c r="G181">
        <v>0</v>
      </c>
    </row>
    <row r="182" spans="1:7" x14ac:dyDescent="0.3">
      <c r="A182" s="9" t="s">
        <v>315</v>
      </c>
      <c r="B182">
        <f>Larvae!D197-Larvae!C197+1</f>
        <v>2</v>
      </c>
      <c r="C182">
        <v>1</v>
      </c>
      <c r="E182" t="s">
        <v>125</v>
      </c>
      <c r="F182" t="s">
        <v>299</v>
      </c>
      <c r="G182">
        <v>0</v>
      </c>
    </row>
    <row r="183" spans="1:7" x14ac:dyDescent="0.3">
      <c r="A183" s="9" t="s">
        <v>316</v>
      </c>
      <c r="B183">
        <f>1</f>
        <v>1</v>
      </c>
      <c r="C183">
        <v>1</v>
      </c>
      <c r="E183" t="s">
        <v>125</v>
      </c>
      <c r="F183" t="s">
        <v>299</v>
      </c>
      <c r="G183">
        <v>0</v>
      </c>
    </row>
    <row r="184" spans="1:7" x14ac:dyDescent="0.3">
      <c r="A184" s="9" t="s">
        <v>317</v>
      </c>
      <c r="B184">
        <f>Larvae!D199-Larvae!C199+1</f>
        <v>2</v>
      </c>
      <c r="C184">
        <v>1</v>
      </c>
      <c r="E184" t="s">
        <v>125</v>
      </c>
      <c r="F184" t="s">
        <v>299</v>
      </c>
      <c r="G184">
        <v>0</v>
      </c>
    </row>
    <row r="185" spans="1:7" x14ac:dyDescent="0.3">
      <c r="A185" s="9" t="s">
        <v>318</v>
      </c>
      <c r="B185">
        <f>1</f>
        <v>1</v>
      </c>
      <c r="C185">
        <v>1</v>
      </c>
      <c r="E185" t="s">
        <v>125</v>
      </c>
      <c r="F185" t="s">
        <v>299</v>
      </c>
      <c r="G185">
        <v>0</v>
      </c>
    </row>
    <row r="186" spans="1:7" x14ac:dyDescent="0.3">
      <c r="A186" s="19" t="s">
        <v>319</v>
      </c>
      <c r="B186">
        <f>1</f>
        <v>1</v>
      </c>
      <c r="C186">
        <v>1</v>
      </c>
      <c r="E186" t="s">
        <v>125</v>
      </c>
      <c r="F186" t="s">
        <v>299</v>
      </c>
      <c r="G186">
        <v>0</v>
      </c>
    </row>
    <row r="187" spans="1:7" x14ac:dyDescent="0.3">
      <c r="A187" s="19" t="s">
        <v>320</v>
      </c>
      <c r="B187">
        <f>1</f>
        <v>1</v>
      </c>
      <c r="C187">
        <v>1</v>
      </c>
      <c r="E187" t="s">
        <v>125</v>
      </c>
      <c r="F187" t="s">
        <v>299</v>
      </c>
      <c r="G187">
        <v>0</v>
      </c>
    </row>
    <row r="188" spans="1:7" x14ac:dyDescent="0.3">
      <c r="A188" s="9" t="s">
        <v>321</v>
      </c>
      <c r="B188">
        <f>1</f>
        <v>1</v>
      </c>
      <c r="C188">
        <v>1</v>
      </c>
      <c r="E188" t="s">
        <v>125</v>
      </c>
      <c r="F188" t="s">
        <v>299</v>
      </c>
      <c r="G188">
        <v>0</v>
      </c>
    </row>
    <row r="189" spans="1:7" x14ac:dyDescent="0.3">
      <c r="A189" s="9" t="s">
        <v>322</v>
      </c>
      <c r="B189">
        <f>1</f>
        <v>1</v>
      </c>
      <c r="C189">
        <v>1</v>
      </c>
      <c r="E189" t="s">
        <v>125</v>
      </c>
      <c r="F189" t="s">
        <v>299</v>
      </c>
      <c r="G189">
        <v>0</v>
      </c>
    </row>
    <row r="190" spans="1:7" x14ac:dyDescent="0.3">
      <c r="A190" s="9" t="s">
        <v>323</v>
      </c>
      <c r="B190">
        <f>Larvae!D205-Larvae!C205+1</f>
        <v>2</v>
      </c>
      <c r="C190">
        <v>1</v>
      </c>
      <c r="E190" t="s">
        <v>125</v>
      </c>
      <c r="F190" t="s">
        <v>299</v>
      </c>
      <c r="G190">
        <v>0</v>
      </c>
    </row>
    <row r="194" spans="1:7" x14ac:dyDescent="0.3">
      <c r="A194" t="s">
        <v>349</v>
      </c>
      <c r="B194" t="s">
        <v>350</v>
      </c>
      <c r="C194" t="s">
        <v>351</v>
      </c>
      <c r="D194" t="s">
        <v>352</v>
      </c>
      <c r="E194" t="s">
        <v>150</v>
      </c>
      <c r="F194" t="s">
        <v>2</v>
      </c>
      <c r="G194" t="s">
        <v>358</v>
      </c>
    </row>
    <row r="195" spans="1:7" x14ac:dyDescent="0.3">
      <c r="A195" s="5" t="s">
        <v>324</v>
      </c>
      <c r="B195">
        <f>Larvae!J206-Larvae!C206</f>
        <v>16</v>
      </c>
      <c r="C195">
        <v>0</v>
      </c>
      <c r="E195" t="s">
        <v>14</v>
      </c>
      <c r="F195" t="s">
        <v>15</v>
      </c>
      <c r="G195">
        <v>1</v>
      </c>
    </row>
    <row r="196" spans="1:7" x14ac:dyDescent="0.3">
      <c r="A196" s="5" t="s">
        <v>325</v>
      </c>
      <c r="B196">
        <f>Larvae!J207-Larvae!C206</f>
        <v>16</v>
      </c>
      <c r="C196">
        <v>0</v>
      </c>
      <c r="E196" t="s">
        <v>14</v>
      </c>
      <c r="F196" t="s">
        <v>15</v>
      </c>
      <c r="G196">
        <v>1</v>
      </c>
    </row>
    <row r="197" spans="1:7" x14ac:dyDescent="0.3">
      <c r="A197" s="5" t="s">
        <v>326</v>
      </c>
      <c r="B197">
        <f>Larvae!J208-Larvae!C207</f>
        <v>17</v>
      </c>
      <c r="C197">
        <v>0</v>
      </c>
      <c r="E197" t="s">
        <v>14</v>
      </c>
      <c r="F197" t="s">
        <v>15</v>
      </c>
      <c r="G197">
        <v>1</v>
      </c>
    </row>
    <row r="198" spans="1:7" x14ac:dyDescent="0.3">
      <c r="A198" s="5" t="s">
        <v>327</v>
      </c>
      <c r="B198">
        <f>Larvae!J209-Larvae!C209</f>
        <v>16</v>
      </c>
      <c r="C198">
        <v>0</v>
      </c>
      <c r="E198" t="s">
        <v>14</v>
      </c>
      <c r="F198" t="s">
        <v>15</v>
      </c>
      <c r="G198">
        <v>1</v>
      </c>
    </row>
    <row r="199" spans="1:7" x14ac:dyDescent="0.3">
      <c r="A199" s="5" t="s">
        <v>328</v>
      </c>
      <c r="B199">
        <f>Larvae!J210-Larvae!C210</f>
        <v>17</v>
      </c>
      <c r="C199">
        <v>0</v>
      </c>
      <c r="E199" t="s">
        <v>14</v>
      </c>
      <c r="F199" t="s">
        <v>15</v>
      </c>
      <c r="G199">
        <v>1</v>
      </c>
    </row>
    <row r="200" spans="1:7" x14ac:dyDescent="0.3">
      <c r="A200" s="5" t="s">
        <v>329</v>
      </c>
      <c r="B200">
        <f>Larvae!J211-Larvae!C211</f>
        <v>16</v>
      </c>
      <c r="C200">
        <v>0</v>
      </c>
      <c r="E200" t="s">
        <v>14</v>
      </c>
      <c r="F200" t="s">
        <v>15</v>
      </c>
      <c r="G200">
        <v>1</v>
      </c>
    </row>
    <row r="201" spans="1:7" x14ac:dyDescent="0.3">
      <c r="A201" s="5" t="s">
        <v>330</v>
      </c>
      <c r="B201">
        <f>Larvae!J212-Larvae!C212</f>
        <v>16</v>
      </c>
      <c r="C201">
        <v>0</v>
      </c>
      <c r="E201" t="s">
        <v>14</v>
      </c>
      <c r="F201" t="s">
        <v>15</v>
      </c>
      <c r="G201">
        <v>1</v>
      </c>
    </row>
    <row r="202" spans="1:7" x14ac:dyDescent="0.3">
      <c r="A202" s="5" t="s">
        <v>331</v>
      </c>
      <c r="B202">
        <f>Larvae!J213-Larvae!C213</f>
        <v>15</v>
      </c>
      <c r="C202">
        <v>0</v>
      </c>
      <c r="E202" t="s">
        <v>14</v>
      </c>
      <c r="F202" t="s">
        <v>15</v>
      </c>
      <c r="G202">
        <v>1</v>
      </c>
    </row>
    <row r="203" spans="1:7" x14ac:dyDescent="0.3">
      <c r="A203" s="5" t="s">
        <v>332</v>
      </c>
      <c r="B203">
        <f>Larvae!J214-Larvae!C214</f>
        <v>17</v>
      </c>
      <c r="C203">
        <v>0</v>
      </c>
      <c r="E203" t="s">
        <v>14</v>
      </c>
      <c r="F203" t="s">
        <v>15</v>
      </c>
      <c r="G203">
        <v>1</v>
      </c>
    </row>
    <row r="204" spans="1:7" x14ac:dyDescent="0.3">
      <c r="A204" s="5" t="s">
        <v>333</v>
      </c>
      <c r="B204">
        <f>Larvae!J215-Larvae!C215</f>
        <v>15</v>
      </c>
      <c r="C204">
        <v>0</v>
      </c>
      <c r="E204" t="s">
        <v>14</v>
      </c>
      <c r="F204" t="s">
        <v>15</v>
      </c>
      <c r="G204">
        <v>1</v>
      </c>
    </row>
    <row r="205" spans="1:7" x14ac:dyDescent="0.3">
      <c r="A205" s="5" t="s">
        <v>334</v>
      </c>
      <c r="B205">
        <f>Larvae!J216-Larvae!C216</f>
        <v>15</v>
      </c>
      <c r="C205">
        <v>0</v>
      </c>
      <c r="E205" t="s">
        <v>14</v>
      </c>
      <c r="F205" t="s">
        <v>15</v>
      </c>
      <c r="G205">
        <v>1</v>
      </c>
    </row>
    <row r="206" spans="1:7" x14ac:dyDescent="0.3">
      <c r="A206" s="5" t="s">
        <v>335</v>
      </c>
      <c r="B206">
        <f>Larvae!J217-Larvae!C217</f>
        <v>17</v>
      </c>
      <c r="C206">
        <v>0</v>
      </c>
      <c r="E206" t="s">
        <v>14</v>
      </c>
      <c r="F206" t="s">
        <v>15</v>
      </c>
      <c r="G206">
        <v>1</v>
      </c>
    </row>
    <row r="207" spans="1:7" x14ac:dyDescent="0.3">
      <c r="A207" s="9" t="s">
        <v>336</v>
      </c>
      <c r="B207">
        <f>Larvae!D218-Larvae!C218+1</f>
        <v>2</v>
      </c>
      <c r="C207">
        <v>1</v>
      </c>
      <c r="E207" t="s">
        <v>14</v>
      </c>
      <c r="F207" t="s">
        <v>299</v>
      </c>
      <c r="G207">
        <v>0</v>
      </c>
    </row>
    <row r="208" spans="1:7" x14ac:dyDescent="0.3">
      <c r="A208" s="5" t="s">
        <v>337</v>
      </c>
      <c r="B208">
        <f>Larvae!J219-Larvae!C219</f>
        <v>17</v>
      </c>
      <c r="C208">
        <v>0</v>
      </c>
      <c r="E208" t="s">
        <v>14</v>
      </c>
      <c r="F208" t="s">
        <v>299</v>
      </c>
      <c r="G208">
        <v>1</v>
      </c>
    </row>
    <row r="209" spans="1:7" x14ac:dyDescent="0.3">
      <c r="A209" s="5" t="s">
        <v>338</v>
      </c>
      <c r="B209">
        <f>Larvae!J220-Larvae!C220</f>
        <v>17</v>
      </c>
      <c r="C209">
        <v>0</v>
      </c>
      <c r="E209" t="s">
        <v>14</v>
      </c>
      <c r="F209" t="s">
        <v>299</v>
      </c>
      <c r="G209">
        <v>1</v>
      </c>
    </row>
    <row r="210" spans="1:7" x14ac:dyDescent="0.3">
      <c r="A210" s="5" t="s">
        <v>339</v>
      </c>
      <c r="B210">
        <f>Larvae!J221-Larvae!C221</f>
        <v>19</v>
      </c>
      <c r="C210">
        <v>0</v>
      </c>
      <c r="E210" t="s">
        <v>14</v>
      </c>
      <c r="F210" t="s">
        <v>299</v>
      </c>
      <c r="G210">
        <v>1</v>
      </c>
    </row>
    <row r="211" spans="1:7" x14ac:dyDescent="0.3">
      <c r="A211" s="5" t="s">
        <v>340</v>
      </c>
      <c r="B211">
        <f>Larvae!J222-Larvae!C222</f>
        <v>15</v>
      </c>
      <c r="C211">
        <v>0</v>
      </c>
      <c r="E211" t="s">
        <v>14</v>
      </c>
      <c r="F211" t="s">
        <v>299</v>
      </c>
      <c r="G211">
        <v>1</v>
      </c>
    </row>
    <row r="212" spans="1:7" x14ac:dyDescent="0.3">
      <c r="A212" s="5" t="s">
        <v>341</v>
      </c>
      <c r="B212">
        <f>Larvae!J223-Larvae!D223</f>
        <v>15</v>
      </c>
      <c r="C212">
        <v>0</v>
      </c>
      <c r="E212" t="s">
        <v>14</v>
      </c>
      <c r="F212" t="s">
        <v>299</v>
      </c>
      <c r="G212">
        <v>1</v>
      </c>
    </row>
    <row r="213" spans="1:7" x14ac:dyDescent="0.3">
      <c r="A213" s="5" t="s">
        <v>342</v>
      </c>
      <c r="B213">
        <f>Larvae!J224-Larvae!C224</f>
        <v>17</v>
      </c>
      <c r="C213">
        <v>0</v>
      </c>
      <c r="E213" t="s">
        <v>14</v>
      </c>
      <c r="F213" t="s">
        <v>299</v>
      </c>
      <c r="G213">
        <v>1</v>
      </c>
    </row>
    <row r="214" spans="1:7" x14ac:dyDescent="0.3">
      <c r="A214" s="5" t="s">
        <v>343</v>
      </c>
      <c r="B214">
        <f>Larvae!J225-Larvae!C225</f>
        <v>14</v>
      </c>
      <c r="C214">
        <v>0</v>
      </c>
      <c r="E214" t="s">
        <v>14</v>
      </c>
      <c r="F214" t="s">
        <v>299</v>
      </c>
      <c r="G214">
        <v>1</v>
      </c>
    </row>
    <row r="215" spans="1:7" x14ac:dyDescent="0.3">
      <c r="A215" s="5" t="s">
        <v>344</v>
      </c>
      <c r="B215">
        <f>Larvae!J226-Larvae!C226</f>
        <v>18</v>
      </c>
      <c r="C215">
        <v>0</v>
      </c>
      <c r="E215" t="s">
        <v>14</v>
      </c>
      <c r="F215" t="s">
        <v>299</v>
      </c>
      <c r="G215">
        <v>1</v>
      </c>
    </row>
    <row r="216" spans="1:7" x14ac:dyDescent="0.3">
      <c r="A216" s="5" t="s">
        <v>345</v>
      </c>
      <c r="B216">
        <f>Larvae!J227-Larvae!C227</f>
        <v>19</v>
      </c>
      <c r="C216">
        <v>0</v>
      </c>
      <c r="E216" t="s">
        <v>14</v>
      </c>
      <c r="F216" t="s">
        <v>299</v>
      </c>
      <c r="G216">
        <v>1</v>
      </c>
    </row>
    <row r="217" spans="1:7" x14ac:dyDescent="0.3">
      <c r="A217" s="9" t="s">
        <v>346</v>
      </c>
      <c r="B217">
        <f>Larvae!H228-Larvae!C228+1</f>
        <v>4</v>
      </c>
      <c r="C217">
        <v>1</v>
      </c>
      <c r="E217" t="s">
        <v>14</v>
      </c>
      <c r="F217" t="s">
        <v>299</v>
      </c>
      <c r="G217">
        <v>0</v>
      </c>
    </row>
    <row r="218" spans="1:7" x14ac:dyDescent="0.3">
      <c r="A218" s="5" t="s">
        <v>347</v>
      </c>
      <c r="B218">
        <f>Larvae!J229-Larvae!C229</f>
        <v>16</v>
      </c>
      <c r="C218">
        <v>0</v>
      </c>
      <c r="E218" t="s">
        <v>14</v>
      </c>
      <c r="F218" t="s">
        <v>299</v>
      </c>
      <c r="G2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D935-38C6-4825-9891-9A45897F380D}">
  <dimension ref="A1:BH229"/>
  <sheetViews>
    <sheetView topLeftCell="A48" zoomScale="52" zoomScaleNormal="55" workbookViewId="0">
      <selection activeCell="A70" sqref="A70:XFD81"/>
    </sheetView>
  </sheetViews>
  <sheetFormatPr defaultRowHeight="14.4" x14ac:dyDescent="0.3"/>
  <cols>
    <col min="2" max="2" width="21.5546875" bestFit="1" customWidth="1"/>
    <col min="3" max="3" width="13.33203125" bestFit="1" customWidth="1"/>
    <col min="4" max="4" width="12.77734375" bestFit="1" customWidth="1"/>
    <col min="5" max="5" width="17.44140625" bestFit="1" customWidth="1"/>
    <col min="6" max="6" width="15.88671875" bestFit="1" customWidth="1"/>
    <col min="7" max="7" width="18.88671875" bestFit="1" customWidth="1"/>
    <col min="8" max="8" width="15.88671875" bestFit="1" customWidth="1"/>
    <col min="9" max="9" width="18.88671875" bestFit="1" customWidth="1"/>
    <col min="10" max="10" width="15.88671875" bestFit="1" customWidth="1"/>
    <col min="11" max="11" width="14.33203125" customWidth="1"/>
    <col min="12" max="12" width="15.88671875" bestFit="1" customWidth="1"/>
    <col min="13" max="13" width="17.44140625" bestFit="1" customWidth="1"/>
    <col min="14" max="14" width="15.88671875" bestFit="1" customWidth="1"/>
    <col min="15" max="15" width="15.44140625" bestFit="1" customWidth="1"/>
    <col min="16" max="16" width="15.88671875" bestFit="1" customWidth="1"/>
    <col min="17" max="17" width="14.6640625" bestFit="1" customWidth="1"/>
    <col min="18" max="18" width="15.88671875" bestFit="1" customWidth="1"/>
    <col min="19" max="19" width="12.88671875" bestFit="1" customWidth="1"/>
    <col min="20" max="21" width="15.88671875" bestFit="1" customWidth="1"/>
    <col min="22" max="22" width="16.88671875" bestFit="1" customWidth="1"/>
    <col min="23" max="23" width="15.6640625" bestFit="1" customWidth="1"/>
    <col min="24" max="24" width="16.88671875" bestFit="1" customWidth="1"/>
    <col min="25" max="25" width="26.109375" bestFit="1" customWidth="1"/>
    <col min="26" max="26" width="59.6640625" bestFit="1" customWidth="1"/>
    <col min="27" max="27" width="14.6640625" bestFit="1" customWidth="1"/>
    <col min="28" max="28" width="11" bestFit="1" customWidth="1"/>
    <col min="29" max="29" width="26.5546875" bestFit="1" customWidth="1"/>
    <col min="30" max="30" width="16.33203125" bestFit="1" customWidth="1"/>
    <col min="31" max="31" width="15.6640625" bestFit="1" customWidth="1"/>
    <col min="32" max="32" width="16.33203125" bestFit="1" customWidth="1"/>
    <col min="34" max="34" width="13.5546875" bestFit="1" customWidth="1"/>
    <col min="35" max="35" width="21.5546875" bestFit="1" customWidth="1"/>
    <col min="36" max="36" width="13.88671875" bestFit="1" customWidth="1"/>
    <col min="37" max="37" width="9.33203125" customWidth="1"/>
    <col min="38" max="38" width="15.6640625" bestFit="1" customWidth="1"/>
    <col min="39" max="39" width="15.33203125" bestFit="1" customWidth="1"/>
    <col min="40" max="40" width="15.6640625" bestFit="1" customWidth="1"/>
    <col min="41" max="41" width="9.44140625" bestFit="1" customWidth="1"/>
    <col min="42" max="42" width="16" bestFit="1" customWidth="1"/>
    <col min="43" max="43" width="16.109375" bestFit="1" customWidth="1"/>
    <col min="44" max="44" width="14.5546875" bestFit="1" customWidth="1"/>
    <col min="45" max="45" width="40" bestFit="1" customWidth="1"/>
    <col min="46" max="46" width="10.109375" bestFit="1" customWidth="1"/>
    <col min="47" max="47" width="9.5546875" bestFit="1" customWidth="1"/>
    <col min="48" max="48" width="29.88671875" bestFit="1" customWidth="1"/>
    <col min="49" max="49" width="14.6640625" bestFit="1" customWidth="1"/>
    <col min="50" max="50" width="16.77734375" bestFit="1" customWidth="1"/>
    <col min="51" max="51" width="16.44140625" bestFit="1" customWidth="1"/>
    <col min="52" max="52" width="16.77734375" bestFit="1" customWidth="1"/>
    <col min="53" max="53" width="15.5546875" bestFit="1" customWidth="1"/>
    <col min="54" max="54" width="16.77734375" bestFit="1" customWidth="1"/>
    <col min="55" max="55" width="10.109375" bestFit="1" customWidth="1"/>
    <col min="56" max="56" width="16.77734375" bestFit="1" customWidth="1"/>
    <col min="57" max="57" width="10.109375" bestFit="1" customWidth="1"/>
    <col min="58" max="58" width="29.44140625" bestFit="1" customWidth="1"/>
    <col min="59" max="59" width="10.109375" bestFit="1" customWidth="1"/>
    <col min="60" max="60" width="33.44140625" bestFit="1" customWidth="1"/>
  </cols>
  <sheetData>
    <row r="1" spans="1:26" s="2" customFormat="1" ht="57.6" x14ac:dyDescent="0.3">
      <c r="A1" s="1" t="s">
        <v>0</v>
      </c>
      <c r="B1" s="2" t="s">
        <v>1</v>
      </c>
      <c r="C1" s="2" t="s">
        <v>13</v>
      </c>
      <c r="D1" s="2" t="s">
        <v>3</v>
      </c>
      <c r="E1" s="2" t="s">
        <v>52</v>
      </c>
      <c r="F1" s="2" t="s">
        <v>4</v>
      </c>
      <c r="G1" s="2" t="s">
        <v>53</v>
      </c>
      <c r="H1" s="2" t="s">
        <v>5</v>
      </c>
      <c r="I1" s="2" t="s">
        <v>54</v>
      </c>
      <c r="J1" s="2" t="s">
        <v>6</v>
      </c>
      <c r="K1" s="2" t="s">
        <v>55</v>
      </c>
      <c r="L1" s="2" t="s">
        <v>7</v>
      </c>
      <c r="M1" s="2" t="s">
        <v>56</v>
      </c>
      <c r="N1" s="2" t="s">
        <v>8</v>
      </c>
      <c r="O1" s="2" t="s">
        <v>57</v>
      </c>
      <c r="P1" s="2" t="s">
        <v>9</v>
      </c>
      <c r="Q1" s="2" t="s">
        <v>58</v>
      </c>
      <c r="R1" s="2" t="s">
        <v>10</v>
      </c>
      <c r="S1" s="2" t="s">
        <v>59</v>
      </c>
      <c r="T1" s="2" t="s">
        <v>11</v>
      </c>
      <c r="U1" s="2" t="s">
        <v>60</v>
      </c>
      <c r="V1" s="2" t="s">
        <v>12</v>
      </c>
      <c r="W1" s="2" t="s">
        <v>61</v>
      </c>
      <c r="X1" s="2" t="s">
        <v>73</v>
      </c>
      <c r="Y1" s="2" t="s">
        <v>74</v>
      </c>
      <c r="Z1" s="2" t="s">
        <v>160</v>
      </c>
    </row>
    <row r="2" spans="1:26" x14ac:dyDescent="0.3">
      <c r="A2" s="9" t="s">
        <v>18</v>
      </c>
      <c r="B2" t="s">
        <v>14</v>
      </c>
      <c r="C2" s="4">
        <v>45901</v>
      </c>
      <c r="D2" s="4">
        <v>45903</v>
      </c>
      <c r="E2">
        <v>0.24</v>
      </c>
      <c r="F2" s="4">
        <v>45905</v>
      </c>
      <c r="G2">
        <v>0.3</v>
      </c>
      <c r="H2" s="4">
        <v>45908</v>
      </c>
      <c r="I2">
        <v>0.36</v>
      </c>
      <c r="J2" s="4">
        <v>45909</v>
      </c>
      <c r="K2">
        <v>0.42</v>
      </c>
      <c r="L2" s="4">
        <v>45910</v>
      </c>
      <c r="M2">
        <v>0.42</v>
      </c>
      <c r="N2" s="4">
        <v>45911</v>
      </c>
      <c r="O2">
        <v>0.42</v>
      </c>
      <c r="P2" s="8">
        <v>45912</v>
      </c>
      <c r="Q2" s="9">
        <v>0.48</v>
      </c>
      <c r="Z2" t="s">
        <v>63</v>
      </c>
    </row>
    <row r="3" spans="1:26" x14ac:dyDescent="0.3">
      <c r="A3" s="5" t="s">
        <v>16</v>
      </c>
      <c r="B3" t="s">
        <v>14</v>
      </c>
      <c r="C3" s="4">
        <v>45901</v>
      </c>
      <c r="D3" s="4">
        <v>45903</v>
      </c>
      <c r="E3">
        <v>0.24</v>
      </c>
      <c r="F3" s="4">
        <v>45905</v>
      </c>
      <c r="G3">
        <v>0.3</v>
      </c>
      <c r="H3" s="4">
        <v>45908</v>
      </c>
      <c r="I3">
        <v>0.36</v>
      </c>
      <c r="J3" s="4">
        <v>45909</v>
      </c>
      <c r="K3">
        <v>0.42</v>
      </c>
      <c r="L3" s="4">
        <v>45910</v>
      </c>
      <c r="M3">
        <v>0.42</v>
      </c>
      <c r="N3" s="4">
        <v>45911</v>
      </c>
      <c r="O3">
        <v>0.6</v>
      </c>
      <c r="P3" s="4">
        <v>45912</v>
      </c>
      <c r="Q3">
        <v>0.66</v>
      </c>
      <c r="R3" s="4">
        <v>45915</v>
      </c>
      <c r="S3">
        <v>0.66</v>
      </c>
      <c r="T3" s="4">
        <v>45917</v>
      </c>
      <c r="U3" t="s">
        <v>69</v>
      </c>
      <c r="V3" s="4">
        <v>45919</v>
      </c>
      <c r="W3" t="s">
        <v>70</v>
      </c>
      <c r="X3" s="4">
        <v>45925</v>
      </c>
      <c r="Y3" t="s">
        <v>75</v>
      </c>
      <c r="Z3" t="s">
        <v>71</v>
      </c>
    </row>
    <row r="4" spans="1:26" x14ac:dyDescent="0.3">
      <c r="A4" s="5" t="s">
        <v>19</v>
      </c>
      <c r="B4" t="s">
        <v>14</v>
      </c>
      <c r="C4" s="4">
        <v>45901</v>
      </c>
      <c r="D4" s="4">
        <v>45903</v>
      </c>
      <c r="E4">
        <v>0.24</v>
      </c>
      <c r="F4" s="4">
        <v>45905</v>
      </c>
      <c r="G4">
        <v>0.42</v>
      </c>
      <c r="H4" s="4">
        <v>45908</v>
      </c>
      <c r="I4">
        <v>0.42</v>
      </c>
      <c r="J4" s="4">
        <v>45909</v>
      </c>
      <c r="K4">
        <v>0.54</v>
      </c>
      <c r="L4" s="4">
        <v>45910</v>
      </c>
      <c r="M4">
        <v>0.66</v>
      </c>
      <c r="N4" s="4">
        <v>45911</v>
      </c>
      <c r="O4">
        <v>0.66</v>
      </c>
      <c r="P4" s="4">
        <v>45912</v>
      </c>
      <c r="Q4">
        <v>0.66</v>
      </c>
      <c r="R4" s="4">
        <v>45915</v>
      </c>
      <c r="S4">
        <v>0.66</v>
      </c>
      <c r="T4" s="4">
        <v>45917</v>
      </c>
      <c r="U4" t="s">
        <v>69</v>
      </c>
      <c r="V4" s="4">
        <v>45919</v>
      </c>
      <c r="W4" t="s">
        <v>70</v>
      </c>
      <c r="X4" s="4">
        <v>45925</v>
      </c>
      <c r="Y4" t="s">
        <v>75</v>
      </c>
      <c r="Z4" t="s">
        <v>71</v>
      </c>
    </row>
    <row r="5" spans="1:26" x14ac:dyDescent="0.3">
      <c r="A5" s="5" t="s">
        <v>17</v>
      </c>
      <c r="B5" t="s">
        <v>14</v>
      </c>
      <c r="C5" s="4">
        <v>45901</v>
      </c>
      <c r="D5" s="4">
        <v>45903</v>
      </c>
      <c r="E5">
        <v>0.24</v>
      </c>
      <c r="F5" s="4">
        <v>45905</v>
      </c>
      <c r="G5">
        <v>0.3</v>
      </c>
      <c r="H5" s="4">
        <v>45908</v>
      </c>
      <c r="I5">
        <v>0.36</v>
      </c>
      <c r="J5" s="4">
        <v>45909</v>
      </c>
      <c r="K5">
        <v>0.42</v>
      </c>
      <c r="L5" s="4">
        <v>45910</v>
      </c>
      <c r="M5">
        <v>0.66</v>
      </c>
      <c r="N5" s="4">
        <v>45911</v>
      </c>
      <c r="O5">
        <v>0.66</v>
      </c>
      <c r="P5" s="4">
        <v>45912</v>
      </c>
      <c r="Q5">
        <v>0.66</v>
      </c>
      <c r="R5" s="4">
        <v>45915</v>
      </c>
      <c r="S5">
        <v>0.66</v>
      </c>
      <c r="T5" s="4">
        <v>45917</v>
      </c>
      <c r="U5" t="s">
        <v>69</v>
      </c>
      <c r="V5" s="4">
        <v>45919</v>
      </c>
      <c r="W5" t="s">
        <v>70</v>
      </c>
      <c r="X5" s="4">
        <v>45925</v>
      </c>
      <c r="Y5" t="s">
        <v>75</v>
      </c>
      <c r="Z5" t="s">
        <v>71</v>
      </c>
    </row>
    <row r="6" spans="1:26" x14ac:dyDescent="0.3">
      <c r="A6" s="7" t="s">
        <v>20</v>
      </c>
      <c r="B6" t="s">
        <v>14</v>
      </c>
      <c r="C6" s="4">
        <v>45901</v>
      </c>
      <c r="D6" s="4">
        <v>45903</v>
      </c>
      <c r="E6">
        <v>0.24</v>
      </c>
      <c r="L6" s="8">
        <v>45910</v>
      </c>
      <c r="Z6" t="s">
        <v>62</v>
      </c>
    </row>
    <row r="7" spans="1:26" x14ac:dyDescent="0.3">
      <c r="A7" s="3" t="s">
        <v>21</v>
      </c>
      <c r="B7" t="s">
        <v>14</v>
      </c>
      <c r="C7" s="4">
        <v>45901</v>
      </c>
      <c r="D7" s="4">
        <v>45903</v>
      </c>
      <c r="E7">
        <v>0.24</v>
      </c>
      <c r="F7" s="4">
        <v>45905</v>
      </c>
      <c r="G7">
        <v>0.3</v>
      </c>
      <c r="L7" s="4"/>
    </row>
    <row r="8" spans="1:26" x14ac:dyDescent="0.3">
      <c r="A8" s="3" t="s">
        <v>22</v>
      </c>
      <c r="B8" t="s">
        <v>47</v>
      </c>
      <c r="C8" s="4">
        <v>45901</v>
      </c>
      <c r="D8" s="4">
        <v>45903</v>
      </c>
      <c r="E8">
        <v>0.18</v>
      </c>
    </row>
    <row r="9" spans="1:26" x14ac:dyDescent="0.3">
      <c r="A9" s="3" t="s">
        <v>23</v>
      </c>
      <c r="B9" t="s">
        <v>47</v>
      </c>
      <c r="C9" s="4">
        <v>45901</v>
      </c>
      <c r="D9" s="4">
        <v>45903</v>
      </c>
      <c r="E9">
        <v>0.24</v>
      </c>
    </row>
    <row r="10" spans="1:26" x14ac:dyDescent="0.3">
      <c r="A10" s="3" t="s">
        <v>24</v>
      </c>
      <c r="B10" t="s">
        <v>47</v>
      </c>
      <c r="C10" s="4">
        <v>45901</v>
      </c>
      <c r="D10" s="4">
        <v>45903</v>
      </c>
      <c r="F10" s="4">
        <v>45905</v>
      </c>
      <c r="G10">
        <v>0.24</v>
      </c>
    </row>
    <row r="11" spans="1:26" x14ac:dyDescent="0.3">
      <c r="A11" s="3" t="s">
        <v>25</v>
      </c>
      <c r="B11" t="s">
        <v>47</v>
      </c>
      <c r="C11" s="4">
        <v>45901</v>
      </c>
      <c r="D11" s="4">
        <v>45903</v>
      </c>
    </row>
    <row r="12" spans="1:26" x14ac:dyDescent="0.3">
      <c r="A12" s="7" t="s">
        <v>26</v>
      </c>
      <c r="B12" t="s">
        <v>47</v>
      </c>
      <c r="C12" s="4">
        <v>45901</v>
      </c>
      <c r="D12" s="4">
        <v>45903</v>
      </c>
      <c r="E12">
        <v>0.24</v>
      </c>
      <c r="F12" s="4">
        <v>45905</v>
      </c>
      <c r="G12">
        <v>0.24</v>
      </c>
      <c r="H12" s="4">
        <v>45908</v>
      </c>
      <c r="I12">
        <v>0.36</v>
      </c>
      <c r="J12" s="4">
        <v>45909</v>
      </c>
      <c r="K12">
        <v>0.6</v>
      </c>
      <c r="L12" s="4">
        <v>45910</v>
      </c>
      <c r="M12">
        <v>0.6</v>
      </c>
      <c r="N12" s="4">
        <v>45911</v>
      </c>
      <c r="O12">
        <v>0.6</v>
      </c>
      <c r="P12" s="4">
        <v>45912</v>
      </c>
      <c r="Q12">
        <v>0.6</v>
      </c>
      <c r="R12" s="8">
        <v>45915</v>
      </c>
      <c r="S12" s="9">
        <v>0.6</v>
      </c>
    </row>
    <row r="13" spans="1:26" x14ac:dyDescent="0.3">
      <c r="A13" s="3" t="s">
        <v>27</v>
      </c>
      <c r="B13" t="s">
        <v>47</v>
      </c>
      <c r="C13" s="4">
        <v>45901</v>
      </c>
      <c r="D13" s="4">
        <v>45903</v>
      </c>
      <c r="E13">
        <v>0.21</v>
      </c>
    </row>
    <row r="14" spans="1:26" x14ac:dyDescent="0.3">
      <c r="A14" s="3" t="s">
        <v>28</v>
      </c>
      <c r="B14" t="s">
        <v>47</v>
      </c>
      <c r="C14" s="4">
        <v>45901</v>
      </c>
      <c r="D14" s="4">
        <v>45903</v>
      </c>
    </row>
    <row r="15" spans="1:26" x14ac:dyDescent="0.3">
      <c r="A15" s="3" t="s">
        <v>29</v>
      </c>
      <c r="B15" t="s">
        <v>47</v>
      </c>
      <c r="C15" s="4">
        <v>45901</v>
      </c>
      <c r="D15" s="4">
        <v>45903</v>
      </c>
    </row>
    <row r="16" spans="1:26" x14ac:dyDescent="0.3">
      <c r="A16" s="6" t="s">
        <v>30</v>
      </c>
      <c r="B16" t="s">
        <v>47</v>
      </c>
      <c r="C16" s="4">
        <v>45901</v>
      </c>
      <c r="D16" s="4">
        <v>45903</v>
      </c>
      <c r="F16" s="4">
        <v>45905</v>
      </c>
      <c r="G16">
        <v>0.3</v>
      </c>
      <c r="H16" s="4">
        <v>45908</v>
      </c>
      <c r="I16">
        <v>0.36</v>
      </c>
      <c r="J16" s="4">
        <v>45909</v>
      </c>
      <c r="K16">
        <v>0.6</v>
      </c>
      <c r="L16" s="4">
        <v>45910</v>
      </c>
      <c r="M16">
        <v>0.6</v>
      </c>
      <c r="N16" s="4">
        <v>45911</v>
      </c>
      <c r="O16">
        <v>0.6</v>
      </c>
      <c r="P16" s="4">
        <v>45912</v>
      </c>
      <c r="Q16">
        <v>0.6</v>
      </c>
      <c r="R16" s="4">
        <v>45915</v>
      </c>
      <c r="S16">
        <v>0.66</v>
      </c>
      <c r="T16" s="4">
        <v>45917</v>
      </c>
      <c r="U16" t="s">
        <v>69</v>
      </c>
      <c r="V16" s="4">
        <v>45919</v>
      </c>
      <c r="W16" t="s">
        <v>70</v>
      </c>
      <c r="X16" s="4">
        <v>45925</v>
      </c>
      <c r="Y16" t="s">
        <v>75</v>
      </c>
      <c r="Z16" t="s">
        <v>72</v>
      </c>
    </row>
    <row r="17" spans="1:26" x14ac:dyDescent="0.3">
      <c r="A17" s="3" t="s">
        <v>31</v>
      </c>
      <c r="B17" t="s">
        <v>47</v>
      </c>
      <c r="C17" s="4">
        <v>45901</v>
      </c>
      <c r="D17" s="4">
        <v>45903</v>
      </c>
    </row>
    <row r="18" spans="1:26" x14ac:dyDescent="0.3">
      <c r="A18" s="7" t="s">
        <v>32</v>
      </c>
      <c r="B18" t="s">
        <v>47</v>
      </c>
      <c r="C18" s="4">
        <v>45901</v>
      </c>
      <c r="D18" s="4">
        <v>45903</v>
      </c>
      <c r="E18">
        <v>0.24</v>
      </c>
      <c r="N18" s="8">
        <v>45911</v>
      </c>
      <c r="O18" s="9">
        <v>0.42</v>
      </c>
      <c r="Z18" t="s">
        <v>66</v>
      </c>
    </row>
    <row r="19" spans="1:26" x14ac:dyDescent="0.3">
      <c r="A19" s="3" t="s">
        <v>33</v>
      </c>
      <c r="B19" t="s">
        <v>47</v>
      </c>
      <c r="C19" s="4">
        <v>45901</v>
      </c>
      <c r="D19" s="4">
        <v>45903</v>
      </c>
    </row>
    <row r="20" spans="1:26" x14ac:dyDescent="0.3">
      <c r="A20" s="7" t="s">
        <v>35</v>
      </c>
      <c r="B20" t="s">
        <v>34</v>
      </c>
      <c r="C20" s="4">
        <v>45901</v>
      </c>
      <c r="D20" s="8">
        <v>45903</v>
      </c>
      <c r="Z20" t="s">
        <v>67</v>
      </c>
    </row>
    <row r="21" spans="1:26" x14ac:dyDescent="0.3">
      <c r="A21" s="3" t="s">
        <v>36</v>
      </c>
      <c r="B21" t="s">
        <v>34</v>
      </c>
      <c r="C21" s="4">
        <v>45901</v>
      </c>
      <c r="D21" s="4">
        <v>45903</v>
      </c>
      <c r="E21">
        <v>0.18</v>
      </c>
      <c r="F21" s="4">
        <v>45905</v>
      </c>
      <c r="G21">
        <v>0.24</v>
      </c>
      <c r="H21" s="4">
        <v>45908</v>
      </c>
      <c r="I21">
        <v>0.3</v>
      </c>
    </row>
    <row r="22" spans="1:26" x14ac:dyDescent="0.3">
      <c r="A22" s="3" t="s">
        <v>37</v>
      </c>
      <c r="B22" t="s">
        <v>34</v>
      </c>
      <c r="C22" s="4">
        <v>45901</v>
      </c>
      <c r="D22" s="4">
        <v>45903</v>
      </c>
    </row>
    <row r="23" spans="1:26" x14ac:dyDescent="0.3">
      <c r="A23" s="3" t="s">
        <v>38</v>
      </c>
      <c r="B23" t="s">
        <v>34</v>
      </c>
      <c r="C23" s="4">
        <v>45901</v>
      </c>
      <c r="D23" s="4">
        <v>45903</v>
      </c>
      <c r="E23">
        <v>0.18</v>
      </c>
      <c r="Z23" t="s">
        <v>48</v>
      </c>
    </row>
    <row r="24" spans="1:26" x14ac:dyDescent="0.3">
      <c r="A24" s="3" t="s">
        <v>39</v>
      </c>
      <c r="B24" t="s">
        <v>34</v>
      </c>
      <c r="C24" s="4">
        <v>45901</v>
      </c>
      <c r="D24" s="4">
        <v>45903</v>
      </c>
      <c r="E24">
        <v>0.18</v>
      </c>
      <c r="Z24" t="s">
        <v>49</v>
      </c>
    </row>
    <row r="25" spans="1:26" x14ac:dyDescent="0.3">
      <c r="A25" s="7" t="s">
        <v>40</v>
      </c>
      <c r="B25" t="s">
        <v>34</v>
      </c>
      <c r="C25" s="4">
        <v>45901</v>
      </c>
      <c r="D25" s="4">
        <v>45903</v>
      </c>
      <c r="E25">
        <v>0.24</v>
      </c>
      <c r="F25" s="4">
        <v>45905</v>
      </c>
      <c r="G25">
        <v>0.48</v>
      </c>
      <c r="H25" s="4">
        <v>45908</v>
      </c>
      <c r="I25">
        <v>0.6</v>
      </c>
      <c r="J25" s="4">
        <v>45909</v>
      </c>
      <c r="K25">
        <v>0.6</v>
      </c>
      <c r="L25" s="4">
        <v>45910</v>
      </c>
      <c r="M25">
        <v>0.6</v>
      </c>
      <c r="N25" s="8">
        <v>45911</v>
      </c>
      <c r="O25" s="9">
        <v>0.6</v>
      </c>
      <c r="Z25" t="s">
        <v>68</v>
      </c>
    </row>
    <row r="26" spans="1:26" x14ac:dyDescent="0.3">
      <c r="A26" s="3" t="s">
        <v>41</v>
      </c>
      <c r="B26" t="s">
        <v>34</v>
      </c>
      <c r="C26" s="4">
        <v>45901</v>
      </c>
      <c r="D26" s="4">
        <v>45903</v>
      </c>
      <c r="E26">
        <v>0.24</v>
      </c>
    </row>
    <row r="27" spans="1:26" x14ac:dyDescent="0.3">
      <c r="A27" s="7" t="s">
        <v>42</v>
      </c>
      <c r="B27" t="s">
        <v>34</v>
      </c>
      <c r="C27" s="4">
        <v>45901</v>
      </c>
      <c r="D27" s="4">
        <v>45903</v>
      </c>
      <c r="F27" s="4">
        <v>45905</v>
      </c>
      <c r="G27">
        <v>0.24</v>
      </c>
      <c r="H27" s="8">
        <v>45908</v>
      </c>
      <c r="Z27" t="s">
        <v>64</v>
      </c>
    </row>
    <row r="28" spans="1:26" x14ac:dyDescent="0.3">
      <c r="A28" s="3" t="s">
        <v>43</v>
      </c>
      <c r="B28" t="s">
        <v>34</v>
      </c>
      <c r="C28" s="4">
        <v>45901</v>
      </c>
      <c r="D28" s="4">
        <v>45903</v>
      </c>
    </row>
    <row r="29" spans="1:26" x14ac:dyDescent="0.3">
      <c r="A29" s="3" t="s">
        <v>44</v>
      </c>
      <c r="B29" t="s">
        <v>34</v>
      </c>
      <c r="C29" s="4">
        <v>45901</v>
      </c>
      <c r="D29" s="4">
        <v>45903</v>
      </c>
      <c r="Z29" t="s">
        <v>50</v>
      </c>
    </row>
    <row r="30" spans="1:26" x14ac:dyDescent="0.3">
      <c r="A30" s="3" t="s">
        <v>45</v>
      </c>
      <c r="B30" t="s">
        <v>34</v>
      </c>
      <c r="C30" s="4">
        <v>45901</v>
      </c>
      <c r="D30" s="4">
        <v>45903</v>
      </c>
      <c r="E30">
        <v>0.24</v>
      </c>
      <c r="Z30" t="s">
        <v>51</v>
      </c>
    </row>
    <row r="31" spans="1:26" x14ac:dyDescent="0.3">
      <c r="A31" s="7" t="s">
        <v>46</v>
      </c>
      <c r="B31" t="s">
        <v>34</v>
      </c>
      <c r="C31" s="4">
        <v>45901</v>
      </c>
      <c r="D31" s="4">
        <v>45903</v>
      </c>
      <c r="E31">
        <v>0.24</v>
      </c>
      <c r="F31" s="8">
        <v>45905</v>
      </c>
      <c r="Z31" t="s">
        <v>65</v>
      </c>
    </row>
    <row r="33" spans="1:45" x14ac:dyDescent="0.3">
      <c r="A33" t="s">
        <v>0</v>
      </c>
      <c r="B33" t="s">
        <v>150</v>
      </c>
      <c r="C33" t="s">
        <v>13</v>
      </c>
      <c r="D33" t="s">
        <v>218</v>
      </c>
      <c r="E33" t="s">
        <v>219</v>
      </c>
      <c r="F33" t="s">
        <v>4</v>
      </c>
      <c r="G33" t="s">
        <v>163</v>
      </c>
      <c r="H33" t="s">
        <v>5</v>
      </c>
      <c r="I33" t="s">
        <v>164</v>
      </c>
      <c r="J33" t="s">
        <v>6</v>
      </c>
      <c r="K33" t="s">
        <v>166</v>
      </c>
      <c r="L33" t="s">
        <v>7</v>
      </c>
      <c r="M33" t="s">
        <v>168</v>
      </c>
      <c r="N33" t="s">
        <v>8</v>
      </c>
      <c r="O33" t="s">
        <v>170</v>
      </c>
      <c r="P33" t="s">
        <v>9</v>
      </c>
      <c r="Q33" t="s">
        <v>171</v>
      </c>
      <c r="R33" t="s">
        <v>10</v>
      </c>
      <c r="S33" t="s">
        <v>173</v>
      </c>
      <c r="T33" t="s">
        <v>11</v>
      </c>
      <c r="U33" t="s">
        <v>174</v>
      </c>
      <c r="V33" t="s">
        <v>12</v>
      </c>
      <c r="W33" t="s">
        <v>175</v>
      </c>
      <c r="X33" t="s">
        <v>73</v>
      </c>
      <c r="Y33" t="s">
        <v>176</v>
      </c>
      <c r="Z33" t="s">
        <v>179</v>
      </c>
      <c r="AA33" t="s">
        <v>180</v>
      </c>
      <c r="AB33" t="s">
        <v>181</v>
      </c>
      <c r="AC33" t="s">
        <v>182</v>
      </c>
      <c r="AD33" t="s">
        <v>183</v>
      </c>
      <c r="AE33" t="s">
        <v>184</v>
      </c>
      <c r="AF33" t="s">
        <v>185</v>
      </c>
      <c r="AG33" t="s">
        <v>186</v>
      </c>
      <c r="AH33" t="s">
        <v>211</v>
      </c>
      <c r="AI33" t="s">
        <v>212</v>
      </c>
      <c r="AJ33" t="s">
        <v>213</v>
      </c>
      <c r="AK33" t="s">
        <v>214</v>
      </c>
      <c r="AL33" t="s">
        <v>215</v>
      </c>
      <c r="AM33" t="s">
        <v>216</v>
      </c>
      <c r="AN33" t="s">
        <v>217</v>
      </c>
      <c r="AO33" t="s">
        <v>220</v>
      </c>
      <c r="AP33" t="s">
        <v>221</v>
      </c>
      <c r="AQ33" t="s">
        <v>222</v>
      </c>
    </row>
    <row r="34" spans="1:45" x14ac:dyDescent="0.3">
      <c r="A34" s="6" t="s">
        <v>76</v>
      </c>
      <c r="B34" s="3" t="s">
        <v>14</v>
      </c>
      <c r="C34" s="4">
        <v>45938</v>
      </c>
      <c r="F34" s="4">
        <v>45943</v>
      </c>
      <c r="G34">
        <v>0.3</v>
      </c>
      <c r="H34" s="4">
        <v>45945</v>
      </c>
      <c r="I34">
        <v>0.3</v>
      </c>
      <c r="J34" s="4">
        <v>45947</v>
      </c>
      <c r="K34">
        <v>0.42</v>
      </c>
      <c r="L34" s="4">
        <v>45950</v>
      </c>
      <c r="M34">
        <v>0.66</v>
      </c>
      <c r="N34" s="4">
        <v>45951</v>
      </c>
      <c r="P34" s="4">
        <v>45952</v>
      </c>
      <c r="Q34">
        <v>0.66</v>
      </c>
      <c r="R34" s="4">
        <v>45953</v>
      </c>
      <c r="S34">
        <v>0.72</v>
      </c>
      <c r="T34" s="4">
        <v>45954</v>
      </c>
      <c r="U34" t="s">
        <v>69</v>
      </c>
      <c r="V34" s="4">
        <v>45955</v>
      </c>
      <c r="W34" t="s">
        <v>69</v>
      </c>
      <c r="X34" s="4">
        <v>45956</v>
      </c>
      <c r="Y34" t="s">
        <v>69</v>
      </c>
      <c r="Z34" s="4">
        <v>45957</v>
      </c>
      <c r="AA34" t="s">
        <v>69</v>
      </c>
      <c r="AB34" s="4">
        <v>45958</v>
      </c>
      <c r="AC34" t="s">
        <v>69</v>
      </c>
      <c r="AD34" s="4">
        <v>45959</v>
      </c>
      <c r="AE34" t="s">
        <v>69</v>
      </c>
      <c r="AF34" s="13">
        <v>45960</v>
      </c>
      <c r="AG34" s="5" t="s">
        <v>70</v>
      </c>
      <c r="AH34" s="4">
        <v>45961</v>
      </c>
      <c r="AJ34" s="4">
        <v>45962</v>
      </c>
      <c r="AL34" s="4">
        <v>45963</v>
      </c>
      <c r="AN34" s="13">
        <v>45964</v>
      </c>
      <c r="AO34" s="5" t="s">
        <v>75</v>
      </c>
    </row>
    <row r="35" spans="1:45" x14ac:dyDescent="0.3">
      <c r="A35" s="6" t="s">
        <v>78</v>
      </c>
      <c r="B35" s="3" t="s">
        <v>14</v>
      </c>
      <c r="C35" s="4">
        <v>45938</v>
      </c>
      <c r="F35" s="4">
        <v>45943</v>
      </c>
      <c r="G35">
        <v>0.3</v>
      </c>
      <c r="H35" s="4">
        <v>45945</v>
      </c>
      <c r="I35">
        <v>0.48</v>
      </c>
      <c r="J35" s="4">
        <v>45947</v>
      </c>
      <c r="K35">
        <v>0.66</v>
      </c>
      <c r="L35" s="4">
        <v>45950</v>
      </c>
      <c r="M35">
        <v>0.66</v>
      </c>
      <c r="N35" s="4">
        <v>45951</v>
      </c>
      <c r="P35" s="4">
        <v>45952</v>
      </c>
      <c r="Q35" t="s">
        <v>69</v>
      </c>
      <c r="R35" s="4">
        <v>45953</v>
      </c>
      <c r="S35" t="s">
        <v>69</v>
      </c>
      <c r="T35" s="4">
        <v>45954</v>
      </c>
      <c r="U35" t="s">
        <v>69</v>
      </c>
      <c r="V35" s="13">
        <v>45955</v>
      </c>
      <c r="W35" s="5" t="s">
        <v>70</v>
      </c>
      <c r="X35" s="4">
        <v>45956</v>
      </c>
      <c r="Z35" s="4">
        <v>45957</v>
      </c>
      <c r="AB35" s="4">
        <v>45958</v>
      </c>
      <c r="AD35" s="4">
        <v>45959</v>
      </c>
      <c r="AF35" s="13">
        <v>45960</v>
      </c>
      <c r="AG35" s="5" t="s">
        <v>75</v>
      </c>
      <c r="AH35" s="4">
        <v>45961</v>
      </c>
      <c r="AJ35" s="4">
        <v>45962</v>
      </c>
      <c r="AL35" s="4">
        <v>45963</v>
      </c>
      <c r="AN35" s="4">
        <v>45964</v>
      </c>
    </row>
    <row r="36" spans="1:45" x14ac:dyDescent="0.3">
      <c r="A36" s="3" t="s">
        <v>79</v>
      </c>
      <c r="B36" s="3" t="s">
        <v>14</v>
      </c>
      <c r="C36" s="4">
        <v>45938</v>
      </c>
      <c r="F36" s="4">
        <v>45943</v>
      </c>
      <c r="H36" s="4">
        <v>45945</v>
      </c>
      <c r="J36" s="4">
        <v>45947</v>
      </c>
      <c r="L36" s="4">
        <v>45950</v>
      </c>
      <c r="N36" s="4">
        <v>45951</v>
      </c>
      <c r="P36" s="4">
        <v>45952</v>
      </c>
      <c r="R36" s="4">
        <v>45953</v>
      </c>
      <c r="T36" s="4">
        <v>45954</v>
      </c>
      <c r="V36" s="4">
        <v>45955</v>
      </c>
      <c r="X36" s="4">
        <v>45956</v>
      </c>
      <c r="Z36" s="4">
        <v>45957</v>
      </c>
      <c r="AB36" s="4">
        <v>45958</v>
      </c>
      <c r="AD36" s="4">
        <v>45959</v>
      </c>
      <c r="AF36" s="4">
        <v>45960</v>
      </c>
      <c r="AH36" s="4">
        <v>45961</v>
      </c>
      <c r="AJ36" s="4">
        <v>45962</v>
      </c>
      <c r="AL36" s="4">
        <v>45963</v>
      </c>
      <c r="AN36" s="4">
        <v>45964</v>
      </c>
    </row>
    <row r="37" spans="1:45" x14ac:dyDescent="0.3">
      <c r="A37" s="6" t="s">
        <v>77</v>
      </c>
      <c r="B37" s="3" t="s">
        <v>14</v>
      </c>
      <c r="C37" s="4">
        <v>45938</v>
      </c>
      <c r="F37" s="4">
        <v>45943</v>
      </c>
      <c r="G37">
        <v>0.48</v>
      </c>
      <c r="H37" s="4">
        <v>45945</v>
      </c>
      <c r="I37">
        <v>0.48</v>
      </c>
      <c r="J37" s="4">
        <v>45947</v>
      </c>
      <c r="K37">
        <v>0.66</v>
      </c>
      <c r="L37" s="4">
        <v>45950</v>
      </c>
      <c r="M37">
        <v>0.72</v>
      </c>
      <c r="N37" s="4">
        <v>45951</v>
      </c>
      <c r="O37" t="s">
        <v>69</v>
      </c>
      <c r="P37" s="4">
        <v>45952</v>
      </c>
      <c r="Q37" t="s">
        <v>69</v>
      </c>
      <c r="R37" s="4">
        <v>45953</v>
      </c>
      <c r="S37" t="s">
        <v>69</v>
      </c>
      <c r="T37" s="4">
        <v>45954</v>
      </c>
      <c r="U37" t="s">
        <v>69</v>
      </c>
      <c r="V37" s="13">
        <v>45955</v>
      </c>
      <c r="W37" s="5" t="s">
        <v>70</v>
      </c>
      <c r="X37" s="4">
        <v>45956</v>
      </c>
      <c r="Z37" s="4">
        <v>45957</v>
      </c>
      <c r="AB37" s="4">
        <v>45958</v>
      </c>
      <c r="AD37" s="4">
        <v>45959</v>
      </c>
      <c r="AF37" s="13">
        <v>45960</v>
      </c>
      <c r="AG37" s="5" t="s">
        <v>75</v>
      </c>
      <c r="AH37" s="4">
        <v>45961</v>
      </c>
      <c r="AJ37" s="4">
        <v>45962</v>
      </c>
      <c r="AL37" s="4">
        <v>45963</v>
      </c>
      <c r="AN37" s="4">
        <v>45964</v>
      </c>
    </row>
    <row r="38" spans="1:45" x14ac:dyDescent="0.3">
      <c r="A38" s="7" t="s">
        <v>80</v>
      </c>
      <c r="B38" s="3" t="s">
        <v>14</v>
      </c>
      <c r="C38" s="4">
        <v>45938</v>
      </c>
      <c r="F38" s="4">
        <v>45943</v>
      </c>
      <c r="G38">
        <v>0.3</v>
      </c>
      <c r="H38" s="4">
        <v>45945</v>
      </c>
      <c r="J38" s="4">
        <v>45947</v>
      </c>
      <c r="K38">
        <v>0.3</v>
      </c>
      <c r="L38" s="4">
        <v>45950</v>
      </c>
      <c r="M38">
        <v>0.3</v>
      </c>
      <c r="N38" s="4">
        <v>45951</v>
      </c>
      <c r="P38" s="8">
        <v>45952</v>
      </c>
      <c r="Q38" s="9" t="s">
        <v>172</v>
      </c>
      <c r="R38" s="4">
        <v>45953</v>
      </c>
      <c r="T38" s="4">
        <v>45954</v>
      </c>
      <c r="V38" s="4">
        <v>45955</v>
      </c>
      <c r="X38" s="4">
        <v>45956</v>
      </c>
      <c r="Z38" s="4">
        <v>45957</v>
      </c>
      <c r="AB38" s="4">
        <v>45958</v>
      </c>
      <c r="AD38" s="4">
        <v>45959</v>
      </c>
      <c r="AF38" s="4">
        <v>45960</v>
      </c>
      <c r="AH38" s="4">
        <v>45961</v>
      </c>
      <c r="AJ38" s="4">
        <v>45962</v>
      </c>
      <c r="AL38" s="4">
        <v>45963</v>
      </c>
      <c r="AN38" s="4">
        <v>45964</v>
      </c>
    </row>
    <row r="39" spans="1:45" x14ac:dyDescent="0.3">
      <c r="A39" s="7" t="s">
        <v>81</v>
      </c>
      <c r="B39" s="3" t="s">
        <v>14</v>
      </c>
      <c r="C39" s="4">
        <v>45938</v>
      </c>
      <c r="F39" s="8">
        <v>45943</v>
      </c>
      <c r="G39" s="9" t="s">
        <v>151</v>
      </c>
      <c r="H39" s="4">
        <v>45945</v>
      </c>
      <c r="J39" s="4">
        <v>45947</v>
      </c>
      <c r="L39" s="4">
        <v>45950</v>
      </c>
      <c r="N39" s="4">
        <v>45951</v>
      </c>
      <c r="P39" s="4">
        <v>45952</v>
      </c>
      <c r="R39" s="4">
        <v>45953</v>
      </c>
      <c r="T39" s="4">
        <v>45954</v>
      </c>
      <c r="V39" s="4">
        <v>45955</v>
      </c>
      <c r="X39" s="4">
        <v>45956</v>
      </c>
      <c r="Z39" s="4">
        <v>45957</v>
      </c>
      <c r="AB39" s="4">
        <v>45958</v>
      </c>
      <c r="AD39" s="4">
        <v>45959</v>
      </c>
      <c r="AF39" s="4">
        <v>45960</v>
      </c>
      <c r="AH39" s="4">
        <v>45961</v>
      </c>
      <c r="AJ39" s="4">
        <v>45962</v>
      </c>
      <c r="AL39" s="4">
        <v>45963</v>
      </c>
      <c r="AN39" s="4">
        <v>45964</v>
      </c>
    </row>
    <row r="40" spans="1:45" x14ac:dyDescent="0.3">
      <c r="A40" s="7" t="s">
        <v>82</v>
      </c>
      <c r="B40" s="3" t="s">
        <v>14</v>
      </c>
      <c r="C40" s="4">
        <v>45938</v>
      </c>
      <c r="F40" s="8">
        <v>45943</v>
      </c>
      <c r="G40" s="9" t="s">
        <v>151</v>
      </c>
      <c r="H40" s="4">
        <v>45945</v>
      </c>
      <c r="J40" s="4">
        <v>45947</v>
      </c>
      <c r="L40" s="4">
        <v>45950</v>
      </c>
      <c r="N40" s="4">
        <v>45951</v>
      </c>
      <c r="P40" s="4">
        <v>45952</v>
      </c>
      <c r="R40" s="4">
        <v>45953</v>
      </c>
      <c r="T40" s="4">
        <v>45954</v>
      </c>
      <c r="V40" s="4">
        <v>45955</v>
      </c>
      <c r="X40" s="4">
        <v>45956</v>
      </c>
      <c r="Z40" s="4">
        <v>45957</v>
      </c>
      <c r="AB40" s="4">
        <v>45958</v>
      </c>
      <c r="AD40" s="4">
        <v>45959</v>
      </c>
      <c r="AF40" s="4">
        <v>45960</v>
      </c>
      <c r="AH40" s="4">
        <v>45961</v>
      </c>
      <c r="AJ40" s="4">
        <v>45962</v>
      </c>
      <c r="AL40" s="4">
        <v>45963</v>
      </c>
      <c r="AN40" s="4">
        <v>45964</v>
      </c>
    </row>
    <row r="41" spans="1:45" x14ac:dyDescent="0.3">
      <c r="A41" s="6" t="s">
        <v>83</v>
      </c>
      <c r="B41" s="3" t="s">
        <v>14</v>
      </c>
      <c r="C41" s="4">
        <v>45938</v>
      </c>
      <c r="F41" s="4">
        <v>45943</v>
      </c>
      <c r="G41">
        <v>0.42</v>
      </c>
      <c r="H41" s="4">
        <v>45945</v>
      </c>
      <c r="I41">
        <v>0.42</v>
      </c>
      <c r="J41" s="4">
        <v>45947</v>
      </c>
      <c r="K41">
        <v>0.6</v>
      </c>
      <c r="L41" s="4">
        <v>45950</v>
      </c>
      <c r="M41">
        <v>0.66</v>
      </c>
      <c r="N41" s="4">
        <v>45951</v>
      </c>
      <c r="P41" s="4">
        <v>45952</v>
      </c>
      <c r="Q41" t="s">
        <v>69</v>
      </c>
      <c r="R41" s="4">
        <v>45953</v>
      </c>
      <c r="S41" t="s">
        <v>69</v>
      </c>
      <c r="T41" s="4">
        <v>45954</v>
      </c>
      <c r="U41" t="s">
        <v>69</v>
      </c>
      <c r="V41" s="13">
        <v>45955</v>
      </c>
      <c r="W41" s="5" t="s">
        <v>70</v>
      </c>
      <c r="X41" s="4">
        <v>45956</v>
      </c>
      <c r="Z41" s="4">
        <v>45957</v>
      </c>
      <c r="AB41" s="4">
        <v>45958</v>
      </c>
      <c r="AD41" s="4">
        <v>45959</v>
      </c>
      <c r="AF41" s="13">
        <v>45960</v>
      </c>
      <c r="AG41" s="5" t="s">
        <v>75</v>
      </c>
      <c r="AH41" s="4">
        <v>45961</v>
      </c>
      <c r="AJ41" s="4">
        <v>45962</v>
      </c>
      <c r="AL41" s="4">
        <v>45963</v>
      </c>
      <c r="AN41" s="4">
        <v>45964</v>
      </c>
    </row>
    <row r="42" spans="1:45" x14ac:dyDescent="0.3">
      <c r="A42" s="3" t="s">
        <v>84</v>
      </c>
      <c r="B42" s="3" t="s">
        <v>14</v>
      </c>
      <c r="C42" s="4">
        <v>45938</v>
      </c>
      <c r="F42" s="4">
        <v>45943</v>
      </c>
      <c r="H42" s="4">
        <v>45945</v>
      </c>
      <c r="J42" s="4">
        <v>45947</v>
      </c>
      <c r="L42" s="4">
        <v>45950</v>
      </c>
      <c r="N42" s="4">
        <v>45951</v>
      </c>
      <c r="P42" s="4">
        <v>45952</v>
      </c>
      <c r="R42" s="4">
        <v>45953</v>
      </c>
      <c r="T42" s="4">
        <v>45954</v>
      </c>
      <c r="V42" s="4">
        <v>45955</v>
      </c>
      <c r="X42" s="4">
        <v>45956</v>
      </c>
      <c r="Z42" s="4">
        <v>45957</v>
      </c>
      <c r="AB42" s="4">
        <v>45958</v>
      </c>
      <c r="AD42" s="4">
        <v>45959</v>
      </c>
      <c r="AF42" s="4">
        <v>45960</v>
      </c>
      <c r="AH42" s="4">
        <v>45961</v>
      </c>
      <c r="AJ42" s="4">
        <v>45962</v>
      </c>
      <c r="AL42" s="4">
        <v>45963</v>
      </c>
      <c r="AN42" s="4">
        <v>45964</v>
      </c>
    </row>
    <row r="43" spans="1:45" x14ac:dyDescent="0.3">
      <c r="A43" s="6" t="s">
        <v>85</v>
      </c>
      <c r="B43" s="3" t="s">
        <v>14</v>
      </c>
      <c r="C43" s="4">
        <v>45938</v>
      </c>
      <c r="F43" s="4">
        <v>45943</v>
      </c>
      <c r="G43">
        <v>0.42</v>
      </c>
      <c r="H43" s="4">
        <v>45945</v>
      </c>
      <c r="I43">
        <v>0.42</v>
      </c>
      <c r="J43" s="4">
        <v>45947</v>
      </c>
      <c r="K43">
        <v>0.6</v>
      </c>
      <c r="L43" s="4">
        <v>45950</v>
      </c>
      <c r="M43">
        <v>0.66</v>
      </c>
      <c r="N43" s="4">
        <v>45951</v>
      </c>
      <c r="P43" s="4">
        <v>45952</v>
      </c>
      <c r="Q43">
        <v>0.72</v>
      </c>
      <c r="R43" s="4">
        <v>45953</v>
      </c>
      <c r="S43" t="s">
        <v>69</v>
      </c>
      <c r="T43" s="4">
        <v>45954</v>
      </c>
      <c r="U43" t="s">
        <v>69</v>
      </c>
      <c r="V43" s="13">
        <v>45955</v>
      </c>
      <c r="W43" s="5" t="s">
        <v>70</v>
      </c>
      <c r="X43" s="4">
        <v>45956</v>
      </c>
      <c r="Z43" s="4">
        <v>45957</v>
      </c>
      <c r="AB43" s="4">
        <v>45958</v>
      </c>
      <c r="AD43" s="4">
        <v>45959</v>
      </c>
      <c r="AF43" s="13">
        <v>45960</v>
      </c>
      <c r="AG43" s="5" t="s">
        <v>75</v>
      </c>
      <c r="AH43" s="4">
        <v>45961</v>
      </c>
      <c r="AJ43" s="4">
        <v>45962</v>
      </c>
      <c r="AL43" s="4">
        <v>45963</v>
      </c>
      <c r="AN43" s="4">
        <v>45964</v>
      </c>
    </row>
    <row r="44" spans="1:45" x14ac:dyDescent="0.3">
      <c r="A44" s="6" t="s">
        <v>86</v>
      </c>
      <c r="B44" s="3" t="s">
        <v>14</v>
      </c>
      <c r="C44" s="4">
        <v>45938</v>
      </c>
      <c r="F44" s="4">
        <v>45943</v>
      </c>
      <c r="G44">
        <v>0.48</v>
      </c>
      <c r="H44" s="4">
        <v>45945</v>
      </c>
      <c r="I44">
        <v>0.66</v>
      </c>
      <c r="J44" s="4">
        <v>45947</v>
      </c>
      <c r="K44">
        <v>0.66</v>
      </c>
      <c r="L44" s="4">
        <v>45950</v>
      </c>
      <c r="M44" t="s">
        <v>69</v>
      </c>
      <c r="N44" s="4">
        <v>45951</v>
      </c>
      <c r="O44" t="s">
        <v>69</v>
      </c>
      <c r="P44" s="13">
        <v>45952</v>
      </c>
      <c r="Q44" s="5" t="s">
        <v>70</v>
      </c>
      <c r="R44" s="4">
        <v>45953</v>
      </c>
      <c r="T44" s="4">
        <v>45954</v>
      </c>
      <c r="V44" s="4">
        <v>45955</v>
      </c>
      <c r="X44" s="4">
        <v>45956</v>
      </c>
      <c r="Z44" s="13">
        <v>45957</v>
      </c>
      <c r="AA44" s="5" t="s">
        <v>177</v>
      </c>
      <c r="AB44" s="4">
        <v>45958</v>
      </c>
      <c r="AD44" s="4">
        <v>45959</v>
      </c>
      <c r="AF44" s="4">
        <v>45960</v>
      </c>
      <c r="AH44" s="4">
        <v>45961</v>
      </c>
      <c r="AJ44" s="4">
        <v>45962</v>
      </c>
      <c r="AL44" s="4">
        <v>45963</v>
      </c>
      <c r="AN44" s="4">
        <v>45964</v>
      </c>
    </row>
    <row r="45" spans="1:45" x14ac:dyDescent="0.3">
      <c r="A45" s="7" t="s">
        <v>87</v>
      </c>
      <c r="B45" s="3" t="s">
        <v>14</v>
      </c>
      <c r="C45" s="4">
        <v>45938</v>
      </c>
      <c r="F45" s="4">
        <v>45943</v>
      </c>
      <c r="H45" s="8">
        <v>45945</v>
      </c>
      <c r="I45" s="9">
        <v>0.3</v>
      </c>
      <c r="J45" s="4">
        <v>45947</v>
      </c>
      <c r="L45" s="4">
        <v>45950</v>
      </c>
      <c r="N45" s="4">
        <v>45951</v>
      </c>
      <c r="P45" s="4">
        <v>45952</v>
      </c>
      <c r="R45" s="4">
        <v>45953</v>
      </c>
      <c r="T45" s="4">
        <v>45954</v>
      </c>
      <c r="V45" s="4">
        <v>45955</v>
      </c>
      <c r="X45" s="4">
        <v>45956</v>
      </c>
      <c r="Z45" s="4">
        <v>45957</v>
      </c>
      <c r="AB45" s="4">
        <v>45958</v>
      </c>
      <c r="AD45" s="4">
        <v>45959</v>
      </c>
      <c r="AF45" s="4">
        <v>45960</v>
      </c>
      <c r="AH45" s="4">
        <v>45961</v>
      </c>
      <c r="AJ45" s="4">
        <v>45962</v>
      </c>
      <c r="AL45" s="4">
        <v>45963</v>
      </c>
      <c r="AN45" s="4">
        <v>45964</v>
      </c>
      <c r="AS45" t="s">
        <v>152</v>
      </c>
    </row>
    <row r="46" spans="1:45" x14ac:dyDescent="0.3">
      <c r="A46" s="6" t="s">
        <v>88</v>
      </c>
      <c r="B46" s="3" t="s">
        <v>14</v>
      </c>
      <c r="C46" s="4">
        <v>45938</v>
      </c>
      <c r="F46" s="4">
        <v>45943</v>
      </c>
      <c r="G46">
        <v>0.3</v>
      </c>
      <c r="H46" s="4">
        <v>45945</v>
      </c>
      <c r="I46">
        <v>0.42</v>
      </c>
      <c r="J46" s="4">
        <v>45947</v>
      </c>
      <c r="K46">
        <v>0.48</v>
      </c>
      <c r="L46" s="4">
        <v>45950</v>
      </c>
      <c r="M46">
        <v>0.66</v>
      </c>
      <c r="N46" s="4">
        <v>45951</v>
      </c>
      <c r="P46" s="4">
        <v>45952</v>
      </c>
      <c r="Q46" t="s">
        <v>69</v>
      </c>
      <c r="R46" s="4">
        <v>45953</v>
      </c>
      <c r="S46" t="s">
        <v>69</v>
      </c>
      <c r="T46" s="4">
        <v>45954</v>
      </c>
      <c r="U46" t="s">
        <v>69</v>
      </c>
      <c r="V46" s="13">
        <v>45955</v>
      </c>
      <c r="W46" s="5" t="s">
        <v>70</v>
      </c>
      <c r="X46" s="4">
        <v>45956</v>
      </c>
      <c r="Z46" s="4">
        <v>45957</v>
      </c>
      <c r="AB46" s="4">
        <v>45958</v>
      </c>
      <c r="AD46" s="4">
        <v>45959</v>
      </c>
      <c r="AE46" s="5" t="s">
        <v>75</v>
      </c>
      <c r="AF46" s="4">
        <v>45960</v>
      </c>
      <c r="AH46" s="4">
        <v>45961</v>
      </c>
      <c r="AJ46" s="4">
        <v>45962</v>
      </c>
      <c r="AL46" s="4">
        <v>45963</v>
      </c>
      <c r="AN46" s="4">
        <v>45964</v>
      </c>
      <c r="AS46" t="s">
        <v>152</v>
      </c>
    </row>
    <row r="47" spans="1:45" x14ac:dyDescent="0.3">
      <c r="A47" s="7" t="s">
        <v>89</v>
      </c>
      <c r="B47" s="3" t="s">
        <v>14</v>
      </c>
      <c r="C47" s="4">
        <v>45938</v>
      </c>
      <c r="F47" s="8">
        <v>45943</v>
      </c>
      <c r="G47" s="9" t="s">
        <v>151</v>
      </c>
      <c r="H47" s="4">
        <v>45945</v>
      </c>
      <c r="J47" s="4">
        <v>45947</v>
      </c>
      <c r="L47" s="4">
        <v>45950</v>
      </c>
      <c r="N47" s="4">
        <v>45951</v>
      </c>
      <c r="P47" s="4">
        <v>45952</v>
      </c>
      <c r="R47" s="4">
        <v>45953</v>
      </c>
      <c r="T47" s="4">
        <v>45954</v>
      </c>
      <c r="V47" s="4">
        <v>45955</v>
      </c>
      <c r="X47" s="4">
        <v>45956</v>
      </c>
      <c r="Z47" s="4">
        <v>45957</v>
      </c>
      <c r="AB47" s="4">
        <v>45958</v>
      </c>
      <c r="AD47" s="4">
        <v>45959</v>
      </c>
      <c r="AF47" s="4">
        <v>45960</v>
      </c>
      <c r="AH47" s="4">
        <v>45961</v>
      </c>
      <c r="AJ47" s="4">
        <v>45962</v>
      </c>
      <c r="AL47" s="4">
        <v>45963</v>
      </c>
      <c r="AN47" s="4">
        <v>45964</v>
      </c>
      <c r="AS47" t="s">
        <v>152</v>
      </c>
    </row>
    <row r="48" spans="1:45" x14ac:dyDescent="0.3">
      <c r="A48" s="7" t="s">
        <v>90</v>
      </c>
      <c r="B48" s="3" t="s">
        <v>14</v>
      </c>
      <c r="C48" s="4">
        <v>45938</v>
      </c>
      <c r="F48" s="4">
        <v>45943</v>
      </c>
      <c r="G48">
        <v>0.3</v>
      </c>
      <c r="H48" s="4">
        <v>45945</v>
      </c>
      <c r="I48">
        <v>0.3</v>
      </c>
      <c r="J48" s="4">
        <v>45947</v>
      </c>
      <c r="K48">
        <v>0.42</v>
      </c>
      <c r="L48" s="4">
        <v>45950</v>
      </c>
      <c r="M48">
        <v>0.66</v>
      </c>
      <c r="N48" s="4">
        <v>45951</v>
      </c>
      <c r="P48" s="4">
        <v>45952</v>
      </c>
      <c r="Q48">
        <v>0.66</v>
      </c>
      <c r="R48" s="4">
        <v>45953</v>
      </c>
      <c r="S48">
        <v>0.66</v>
      </c>
      <c r="T48" s="4">
        <v>45954</v>
      </c>
      <c r="U48">
        <v>0.66</v>
      </c>
      <c r="V48" s="4">
        <v>45955</v>
      </c>
      <c r="W48" t="s">
        <v>69</v>
      </c>
      <c r="X48" s="4">
        <v>45956</v>
      </c>
      <c r="Y48" t="s">
        <v>69</v>
      </c>
      <c r="Z48" s="4">
        <v>45957</v>
      </c>
      <c r="AB48" s="4">
        <v>45958</v>
      </c>
      <c r="AC48" t="s">
        <v>69</v>
      </c>
      <c r="AD48" s="4">
        <v>45959</v>
      </c>
      <c r="AE48" s="5" t="s">
        <v>70</v>
      </c>
      <c r="AF48" s="4">
        <v>45960</v>
      </c>
      <c r="AH48" s="4">
        <v>45961</v>
      </c>
      <c r="AJ48" s="8">
        <v>45962</v>
      </c>
      <c r="AK48" s="9" t="s">
        <v>273</v>
      </c>
      <c r="AL48" s="4">
        <v>45963</v>
      </c>
      <c r="AN48" s="4">
        <v>45964</v>
      </c>
      <c r="AS48" t="s">
        <v>274</v>
      </c>
    </row>
    <row r="49" spans="1:45" x14ac:dyDescent="0.3">
      <c r="A49" s="6" t="s">
        <v>91</v>
      </c>
      <c r="B49" s="3" t="s">
        <v>14</v>
      </c>
      <c r="C49" s="4">
        <v>45938</v>
      </c>
      <c r="F49" s="4">
        <v>45943</v>
      </c>
      <c r="G49">
        <v>0.42</v>
      </c>
      <c r="H49" s="4">
        <v>45945</v>
      </c>
      <c r="I49">
        <v>0.48</v>
      </c>
      <c r="J49" s="4">
        <v>45947</v>
      </c>
      <c r="K49">
        <v>0.66</v>
      </c>
      <c r="L49" s="4">
        <v>45950</v>
      </c>
      <c r="M49">
        <v>0.66</v>
      </c>
      <c r="N49" s="4">
        <v>45951</v>
      </c>
      <c r="P49" s="4">
        <v>45952</v>
      </c>
      <c r="Q49" t="s">
        <v>69</v>
      </c>
      <c r="R49" s="4">
        <v>45953</v>
      </c>
      <c r="S49" t="s">
        <v>69</v>
      </c>
      <c r="T49" s="4">
        <v>45954</v>
      </c>
      <c r="U49" t="s">
        <v>69</v>
      </c>
      <c r="V49" s="13">
        <v>45955</v>
      </c>
      <c r="W49" s="5" t="s">
        <v>70</v>
      </c>
      <c r="X49" s="4">
        <v>45956</v>
      </c>
      <c r="Z49" s="4">
        <v>45957</v>
      </c>
      <c r="AB49" s="4">
        <v>45958</v>
      </c>
      <c r="AD49" s="4">
        <v>45959</v>
      </c>
      <c r="AF49" s="13">
        <v>45960</v>
      </c>
      <c r="AG49" s="5" t="s">
        <v>75</v>
      </c>
      <c r="AH49" s="4">
        <v>45961</v>
      </c>
      <c r="AJ49" s="4">
        <v>45962</v>
      </c>
      <c r="AL49" s="4">
        <v>45963</v>
      </c>
      <c r="AN49" s="4">
        <v>45964</v>
      </c>
      <c r="AS49" t="s">
        <v>154</v>
      </c>
    </row>
    <row r="50" spans="1:45" x14ac:dyDescent="0.3">
      <c r="A50" s="7" t="s">
        <v>92</v>
      </c>
      <c r="B50" s="3" t="s">
        <v>14</v>
      </c>
      <c r="C50" s="4">
        <v>45938</v>
      </c>
      <c r="F50" s="4">
        <v>45943</v>
      </c>
      <c r="G50">
        <v>0.3</v>
      </c>
      <c r="H50" s="8">
        <v>45945</v>
      </c>
      <c r="I50" s="9"/>
      <c r="J50" s="4">
        <v>45947</v>
      </c>
      <c r="L50" s="4">
        <v>45950</v>
      </c>
      <c r="N50" s="4">
        <v>45951</v>
      </c>
      <c r="P50" s="4">
        <v>45952</v>
      </c>
      <c r="R50" s="4">
        <v>45953</v>
      </c>
      <c r="T50" s="4">
        <v>45954</v>
      </c>
      <c r="V50" s="4">
        <v>45955</v>
      </c>
      <c r="X50" s="4">
        <v>45956</v>
      </c>
      <c r="Z50" s="4">
        <v>45957</v>
      </c>
      <c r="AB50" s="4">
        <v>45958</v>
      </c>
      <c r="AD50" s="4">
        <v>45959</v>
      </c>
      <c r="AF50" s="4">
        <v>45960</v>
      </c>
      <c r="AH50" s="4">
        <v>45961</v>
      </c>
      <c r="AJ50" s="4">
        <v>45962</v>
      </c>
      <c r="AL50" s="4">
        <v>45963</v>
      </c>
      <c r="AN50" s="4">
        <v>45964</v>
      </c>
      <c r="AS50" t="s">
        <v>153</v>
      </c>
    </row>
    <row r="51" spans="1:45" x14ac:dyDescent="0.3">
      <c r="A51" s="7" t="s">
        <v>93</v>
      </c>
      <c r="B51" s="3" t="s">
        <v>14</v>
      </c>
      <c r="C51" s="4">
        <v>45938</v>
      </c>
      <c r="F51" s="8">
        <v>45943</v>
      </c>
      <c r="G51" s="9" t="s">
        <v>151</v>
      </c>
      <c r="H51" s="4">
        <v>45945</v>
      </c>
      <c r="J51" s="4">
        <v>45947</v>
      </c>
      <c r="L51" s="4">
        <v>45950</v>
      </c>
      <c r="N51" s="4">
        <v>45951</v>
      </c>
      <c r="P51" s="4">
        <v>45952</v>
      </c>
      <c r="R51" s="4">
        <v>45953</v>
      </c>
      <c r="T51" s="4">
        <v>45954</v>
      </c>
      <c r="V51" s="4">
        <v>45955</v>
      </c>
      <c r="X51" s="4">
        <v>45956</v>
      </c>
      <c r="Z51" s="4">
        <v>45957</v>
      </c>
      <c r="AB51" s="4">
        <v>45958</v>
      </c>
      <c r="AD51" s="4">
        <v>45959</v>
      </c>
      <c r="AF51" s="4">
        <v>45960</v>
      </c>
      <c r="AH51" s="4">
        <v>45961</v>
      </c>
      <c r="AJ51" s="4">
        <v>45962</v>
      </c>
      <c r="AL51" s="4">
        <v>45963</v>
      </c>
      <c r="AN51" s="4">
        <v>45964</v>
      </c>
      <c r="AS51" t="s">
        <v>158</v>
      </c>
    </row>
    <row r="52" spans="1:45" x14ac:dyDescent="0.3">
      <c r="A52" s="6" t="s">
        <v>94</v>
      </c>
      <c r="B52" s="3" t="s">
        <v>14</v>
      </c>
      <c r="C52" s="4">
        <v>45938</v>
      </c>
      <c r="F52" s="4">
        <v>45943</v>
      </c>
      <c r="G52">
        <v>0.42</v>
      </c>
      <c r="H52" s="4">
        <v>45945</v>
      </c>
      <c r="I52">
        <v>0.42</v>
      </c>
      <c r="J52" s="4">
        <v>45947</v>
      </c>
      <c r="K52">
        <v>0.6</v>
      </c>
      <c r="L52" s="4">
        <v>45950</v>
      </c>
      <c r="M52">
        <v>0.66</v>
      </c>
      <c r="N52" s="4">
        <v>45951</v>
      </c>
      <c r="P52" s="4">
        <v>45952</v>
      </c>
      <c r="Q52">
        <v>0.66</v>
      </c>
      <c r="R52" s="4">
        <v>45953</v>
      </c>
      <c r="S52" t="s">
        <v>69</v>
      </c>
      <c r="T52" s="4">
        <v>45954</v>
      </c>
      <c r="U52" t="s">
        <v>69</v>
      </c>
      <c r="V52" s="4">
        <v>45955</v>
      </c>
      <c r="W52" t="s">
        <v>69</v>
      </c>
      <c r="X52" s="4">
        <v>45956</v>
      </c>
      <c r="Y52" t="s">
        <v>69</v>
      </c>
      <c r="Z52" s="13">
        <v>45957</v>
      </c>
      <c r="AA52" s="5" t="s">
        <v>178</v>
      </c>
      <c r="AB52" s="4">
        <v>45958</v>
      </c>
      <c r="AD52" s="4">
        <v>45959</v>
      </c>
      <c r="AF52" s="4">
        <v>45960</v>
      </c>
      <c r="AH52" s="13">
        <v>45961</v>
      </c>
      <c r="AI52" s="5" t="s">
        <v>177</v>
      </c>
      <c r="AJ52" s="4">
        <v>45962</v>
      </c>
      <c r="AL52" s="4">
        <v>45963</v>
      </c>
      <c r="AN52" s="4">
        <v>45964</v>
      </c>
      <c r="AS52" t="s">
        <v>156</v>
      </c>
    </row>
    <row r="53" spans="1:45" x14ac:dyDescent="0.3">
      <c r="A53" s="3" t="s">
        <v>95</v>
      </c>
      <c r="B53" s="3" t="s">
        <v>14</v>
      </c>
      <c r="C53" s="4">
        <v>45938</v>
      </c>
      <c r="F53" s="4">
        <v>45943</v>
      </c>
      <c r="G53">
        <v>0.3</v>
      </c>
      <c r="H53" s="4">
        <v>45945</v>
      </c>
      <c r="J53" s="4">
        <v>45947</v>
      </c>
      <c r="L53" s="4">
        <v>45950</v>
      </c>
      <c r="N53" s="4">
        <v>45951</v>
      </c>
      <c r="P53" s="4">
        <v>45952</v>
      </c>
      <c r="R53" s="4">
        <v>45953</v>
      </c>
      <c r="T53" s="4">
        <v>45954</v>
      </c>
      <c r="V53" s="4">
        <v>45955</v>
      </c>
      <c r="X53" s="4">
        <v>45956</v>
      </c>
      <c r="Z53" s="4">
        <v>45957</v>
      </c>
      <c r="AB53" s="4">
        <v>45958</v>
      </c>
      <c r="AD53" s="4">
        <v>45959</v>
      </c>
      <c r="AF53" s="4">
        <v>45960</v>
      </c>
      <c r="AH53" s="4">
        <v>45961</v>
      </c>
      <c r="AJ53" s="4">
        <v>45962</v>
      </c>
      <c r="AL53" s="4">
        <v>45963</v>
      </c>
      <c r="AN53" s="4">
        <v>45964</v>
      </c>
      <c r="AS53" t="s">
        <v>152</v>
      </c>
    </row>
    <row r="54" spans="1:45" x14ac:dyDescent="0.3">
      <c r="A54" s="3" t="s">
        <v>96</v>
      </c>
      <c r="B54" s="3" t="s">
        <v>14</v>
      </c>
      <c r="C54" s="4">
        <v>45938</v>
      </c>
      <c r="F54" s="4">
        <v>45943</v>
      </c>
      <c r="G54">
        <v>0.3</v>
      </c>
      <c r="H54" s="4">
        <v>45945</v>
      </c>
      <c r="J54" s="4">
        <v>45947</v>
      </c>
      <c r="L54" s="4">
        <v>45950</v>
      </c>
      <c r="N54" s="4">
        <v>45951</v>
      </c>
      <c r="P54" s="4">
        <v>45952</v>
      </c>
      <c r="R54" s="4">
        <v>45953</v>
      </c>
      <c r="T54" s="4">
        <v>45954</v>
      </c>
      <c r="V54" s="4">
        <v>45955</v>
      </c>
      <c r="X54" s="4">
        <v>45956</v>
      </c>
      <c r="Z54" s="4">
        <v>45957</v>
      </c>
      <c r="AB54" s="4">
        <v>45958</v>
      </c>
      <c r="AD54" s="4">
        <v>45959</v>
      </c>
      <c r="AF54" s="4">
        <v>45960</v>
      </c>
      <c r="AH54" s="4">
        <v>45961</v>
      </c>
      <c r="AJ54" s="4">
        <v>45962</v>
      </c>
      <c r="AL54" s="4">
        <v>45963</v>
      </c>
      <c r="AN54" s="4">
        <v>45964</v>
      </c>
      <c r="AS54" t="s">
        <v>153</v>
      </c>
    </row>
    <row r="55" spans="1:45" x14ac:dyDescent="0.3">
      <c r="A55" s="7" t="s">
        <v>98</v>
      </c>
      <c r="B55" s="3" t="s">
        <v>14</v>
      </c>
      <c r="C55" s="4">
        <v>45938</v>
      </c>
      <c r="F55" s="4">
        <v>45943</v>
      </c>
      <c r="H55" s="8">
        <v>45945</v>
      </c>
      <c r="I55" s="9">
        <v>0.24</v>
      </c>
      <c r="J55" s="4">
        <v>45947</v>
      </c>
      <c r="L55" s="4">
        <v>45950</v>
      </c>
      <c r="N55" s="4">
        <v>45951</v>
      </c>
      <c r="P55" s="4">
        <v>45952</v>
      </c>
      <c r="R55" s="4">
        <v>45953</v>
      </c>
      <c r="T55" s="4">
        <v>45954</v>
      </c>
      <c r="V55" s="4">
        <v>45955</v>
      </c>
      <c r="X55" s="4">
        <v>45956</v>
      </c>
      <c r="Z55" s="4">
        <v>45957</v>
      </c>
      <c r="AB55" s="4">
        <v>45958</v>
      </c>
      <c r="AD55" s="4">
        <v>45959</v>
      </c>
      <c r="AF55" s="4">
        <v>45960</v>
      </c>
      <c r="AH55" s="4">
        <v>45961</v>
      </c>
      <c r="AJ55" s="4">
        <v>45962</v>
      </c>
      <c r="AL55" s="4">
        <v>45963</v>
      </c>
      <c r="AN55" s="4">
        <v>45964</v>
      </c>
      <c r="AS55" t="s">
        <v>159</v>
      </c>
    </row>
    <row r="56" spans="1:45" x14ac:dyDescent="0.3">
      <c r="A56" s="6" t="s">
        <v>99</v>
      </c>
      <c r="B56" s="3" t="s">
        <v>14</v>
      </c>
      <c r="C56" s="4">
        <v>45938</v>
      </c>
      <c r="F56" s="4">
        <v>45943</v>
      </c>
      <c r="G56">
        <v>0.3</v>
      </c>
      <c r="H56" s="4">
        <v>45945</v>
      </c>
      <c r="I56">
        <v>0.48</v>
      </c>
      <c r="J56" s="4">
        <v>45947</v>
      </c>
      <c r="K56">
        <v>0.48</v>
      </c>
      <c r="L56" s="4">
        <v>45950</v>
      </c>
      <c r="M56">
        <v>0.66</v>
      </c>
      <c r="N56" s="4">
        <v>45951</v>
      </c>
      <c r="P56" s="4">
        <v>45952</v>
      </c>
      <c r="Q56">
        <v>0.72</v>
      </c>
      <c r="R56" s="4">
        <v>45953</v>
      </c>
      <c r="S56">
        <v>0.72</v>
      </c>
      <c r="T56" s="4">
        <v>45954</v>
      </c>
      <c r="U56">
        <v>0.72</v>
      </c>
      <c r="V56" s="4">
        <v>45955</v>
      </c>
      <c r="W56" t="s">
        <v>69</v>
      </c>
      <c r="X56" s="4">
        <v>45956</v>
      </c>
      <c r="Y56" t="s">
        <v>69</v>
      </c>
      <c r="Z56" s="13">
        <v>45957</v>
      </c>
      <c r="AA56" s="5" t="s">
        <v>178</v>
      </c>
      <c r="AB56" s="4">
        <v>45958</v>
      </c>
      <c r="AD56" s="4">
        <v>45959</v>
      </c>
      <c r="AF56" s="4">
        <v>45960</v>
      </c>
      <c r="AH56" s="4">
        <v>45961</v>
      </c>
      <c r="AJ56" s="13">
        <v>45962</v>
      </c>
      <c r="AK56" s="5" t="s">
        <v>75</v>
      </c>
      <c r="AL56" s="4">
        <v>45963</v>
      </c>
      <c r="AN56" s="4">
        <v>45964</v>
      </c>
    </row>
    <row r="57" spans="1:45" x14ac:dyDescent="0.3">
      <c r="A57" s="3" t="s">
        <v>97</v>
      </c>
      <c r="B57" s="3" t="s">
        <v>14</v>
      </c>
      <c r="C57" s="4">
        <v>45938</v>
      </c>
      <c r="F57" s="4">
        <v>45943</v>
      </c>
      <c r="H57" s="4">
        <v>45945</v>
      </c>
      <c r="J57" s="4">
        <v>45947</v>
      </c>
      <c r="L57" s="4">
        <v>45950</v>
      </c>
      <c r="N57" s="4">
        <v>45951</v>
      </c>
      <c r="P57" s="4">
        <v>45952</v>
      </c>
      <c r="R57" s="4">
        <v>45953</v>
      </c>
      <c r="T57" s="4">
        <v>45954</v>
      </c>
      <c r="V57" s="4">
        <v>45955</v>
      </c>
      <c r="X57" s="4">
        <v>45956</v>
      </c>
      <c r="Z57" s="4">
        <v>45957</v>
      </c>
      <c r="AB57" s="4">
        <v>45958</v>
      </c>
      <c r="AD57" s="4">
        <v>45959</v>
      </c>
      <c r="AF57" s="4">
        <v>45960</v>
      </c>
      <c r="AH57" s="4">
        <v>45961</v>
      </c>
      <c r="AJ57" s="4">
        <v>45962</v>
      </c>
      <c r="AL57" s="4">
        <v>45963</v>
      </c>
      <c r="AN57" s="4">
        <v>45964</v>
      </c>
    </row>
    <row r="58" spans="1:45" x14ac:dyDescent="0.3">
      <c r="A58" s="3" t="s">
        <v>101</v>
      </c>
      <c r="B58" s="3" t="s">
        <v>100</v>
      </c>
      <c r="C58" s="4">
        <v>45938</v>
      </c>
      <c r="F58" s="4">
        <v>45943</v>
      </c>
      <c r="G58">
        <v>0.3</v>
      </c>
      <c r="H58" s="4">
        <v>45945</v>
      </c>
      <c r="J58" s="4">
        <v>45947</v>
      </c>
      <c r="K58">
        <v>0.3</v>
      </c>
      <c r="L58" s="4">
        <v>45950</v>
      </c>
      <c r="M58">
        <v>0.36</v>
      </c>
      <c r="N58" s="4">
        <v>45951</v>
      </c>
      <c r="P58" s="4">
        <v>45952</v>
      </c>
      <c r="R58" s="4">
        <v>45953</v>
      </c>
      <c r="T58" s="4">
        <v>45954</v>
      </c>
      <c r="V58" s="4">
        <v>45955</v>
      </c>
      <c r="X58" s="4">
        <v>45956</v>
      </c>
      <c r="Z58" s="4">
        <v>45957</v>
      </c>
      <c r="AB58" s="4">
        <v>45958</v>
      </c>
      <c r="AD58" s="4">
        <v>45959</v>
      </c>
      <c r="AF58" s="4">
        <v>45960</v>
      </c>
      <c r="AH58" s="4">
        <v>45961</v>
      </c>
      <c r="AJ58" s="4">
        <v>45962</v>
      </c>
      <c r="AL58" s="4">
        <v>45963</v>
      </c>
      <c r="AN58" s="4">
        <v>45964</v>
      </c>
    </row>
    <row r="59" spans="1:45" x14ac:dyDescent="0.3">
      <c r="A59" s="7" t="s">
        <v>103</v>
      </c>
      <c r="B59" s="3" t="s">
        <v>100</v>
      </c>
      <c r="C59" s="4">
        <v>45938</v>
      </c>
      <c r="F59" s="4">
        <v>45943</v>
      </c>
      <c r="G59">
        <v>0.3</v>
      </c>
      <c r="H59" s="8">
        <v>45945</v>
      </c>
      <c r="I59" s="9">
        <v>0.3</v>
      </c>
      <c r="J59" s="4">
        <v>45947</v>
      </c>
      <c r="L59" s="4">
        <v>45950</v>
      </c>
      <c r="N59" s="4">
        <v>45951</v>
      </c>
      <c r="P59" s="4">
        <v>45952</v>
      </c>
      <c r="R59" s="4">
        <v>45953</v>
      </c>
      <c r="T59" s="4">
        <v>45954</v>
      </c>
      <c r="V59" s="4">
        <v>45955</v>
      </c>
      <c r="X59" s="4">
        <v>45956</v>
      </c>
      <c r="Z59" s="4">
        <v>45957</v>
      </c>
      <c r="AB59" s="4">
        <v>45958</v>
      </c>
      <c r="AD59" s="4">
        <v>45959</v>
      </c>
      <c r="AF59" s="4">
        <v>45960</v>
      </c>
      <c r="AH59" s="4">
        <v>45961</v>
      </c>
      <c r="AJ59" s="4">
        <v>45962</v>
      </c>
      <c r="AL59" s="4">
        <v>45963</v>
      </c>
      <c r="AN59" s="4">
        <v>45964</v>
      </c>
    </row>
    <row r="60" spans="1:45" x14ac:dyDescent="0.3">
      <c r="A60" s="3" t="s">
        <v>104</v>
      </c>
      <c r="B60" s="3" t="s">
        <v>100</v>
      </c>
      <c r="C60" s="4">
        <v>45938</v>
      </c>
      <c r="F60" s="4">
        <v>45943</v>
      </c>
      <c r="H60" s="4">
        <v>45945</v>
      </c>
      <c r="J60" s="4">
        <v>45947</v>
      </c>
      <c r="L60" s="4">
        <v>45950</v>
      </c>
      <c r="N60" s="4">
        <v>45951</v>
      </c>
      <c r="P60" s="4">
        <v>45952</v>
      </c>
      <c r="R60" s="4">
        <v>45953</v>
      </c>
      <c r="T60" s="4">
        <v>45954</v>
      </c>
      <c r="V60" s="4">
        <v>45955</v>
      </c>
      <c r="X60" s="4">
        <v>45956</v>
      </c>
      <c r="Z60" s="4">
        <v>45957</v>
      </c>
      <c r="AB60" s="4">
        <v>45958</v>
      </c>
      <c r="AD60" s="4">
        <v>45959</v>
      </c>
      <c r="AF60" s="4">
        <v>45960</v>
      </c>
      <c r="AH60" s="4">
        <v>45961</v>
      </c>
      <c r="AJ60" s="4">
        <v>45962</v>
      </c>
      <c r="AL60" s="4">
        <v>45963</v>
      </c>
      <c r="AN60" s="4">
        <v>45964</v>
      </c>
    </row>
    <row r="61" spans="1:45" x14ac:dyDescent="0.3">
      <c r="A61" s="3" t="s">
        <v>102</v>
      </c>
      <c r="B61" s="3" t="s">
        <v>100</v>
      </c>
      <c r="C61" s="4">
        <v>45938</v>
      </c>
      <c r="F61" s="4">
        <v>45943</v>
      </c>
      <c r="H61" s="4">
        <v>45945</v>
      </c>
      <c r="J61" s="4">
        <v>45947</v>
      </c>
      <c r="K61">
        <v>0.42</v>
      </c>
      <c r="L61" s="4">
        <v>45950</v>
      </c>
      <c r="M61">
        <v>0.66</v>
      </c>
      <c r="N61" s="4">
        <v>45951</v>
      </c>
      <c r="P61" s="4">
        <v>45952</v>
      </c>
      <c r="Q61">
        <v>0.66</v>
      </c>
      <c r="R61" s="4">
        <v>45953</v>
      </c>
      <c r="S61">
        <v>0.66</v>
      </c>
      <c r="T61" s="4">
        <v>45954</v>
      </c>
      <c r="U61">
        <v>0.66</v>
      </c>
      <c r="V61" s="4">
        <v>45955</v>
      </c>
      <c r="W61" t="s">
        <v>69</v>
      </c>
      <c r="X61" s="4">
        <v>45956</v>
      </c>
      <c r="Y61" t="s">
        <v>69</v>
      </c>
      <c r="Z61" s="4">
        <v>45957</v>
      </c>
      <c r="AA61" t="s">
        <v>69</v>
      </c>
      <c r="AB61" s="4">
        <v>45958</v>
      </c>
      <c r="AC61" t="s">
        <v>69</v>
      </c>
      <c r="AD61" s="4">
        <v>45959</v>
      </c>
      <c r="AF61" s="13">
        <v>45960</v>
      </c>
      <c r="AG61" s="5" t="s">
        <v>70</v>
      </c>
      <c r="AH61" s="4">
        <v>45961</v>
      </c>
      <c r="AJ61" s="4">
        <v>45962</v>
      </c>
      <c r="AL61" s="4">
        <v>45963</v>
      </c>
      <c r="AN61" s="4">
        <v>45964</v>
      </c>
    </row>
    <row r="62" spans="1:45" x14ac:dyDescent="0.3">
      <c r="A62" s="7" t="s">
        <v>105</v>
      </c>
      <c r="B62" s="3" t="s">
        <v>100</v>
      </c>
      <c r="C62" s="4">
        <v>45938</v>
      </c>
      <c r="D62" s="8">
        <v>45940</v>
      </c>
      <c r="E62" s="9">
        <v>0.24</v>
      </c>
      <c r="F62" s="4">
        <v>45943</v>
      </c>
      <c r="H62" s="4">
        <v>45945</v>
      </c>
      <c r="J62" s="4">
        <v>45947</v>
      </c>
      <c r="L62" s="4">
        <v>45950</v>
      </c>
      <c r="N62" s="4">
        <v>45951</v>
      </c>
      <c r="P62" s="4">
        <v>45952</v>
      </c>
      <c r="R62" s="4">
        <v>45953</v>
      </c>
      <c r="T62" s="4">
        <v>45954</v>
      </c>
      <c r="V62" s="4">
        <v>45955</v>
      </c>
      <c r="X62" s="4">
        <v>45956</v>
      </c>
      <c r="Z62" s="4">
        <v>45957</v>
      </c>
      <c r="AB62" s="4">
        <v>45958</v>
      </c>
      <c r="AD62" s="4">
        <v>45959</v>
      </c>
      <c r="AF62" s="4">
        <v>45960</v>
      </c>
      <c r="AH62" s="4">
        <v>45961</v>
      </c>
      <c r="AJ62" s="4">
        <v>45962</v>
      </c>
      <c r="AL62" s="4">
        <v>45963</v>
      </c>
      <c r="AN62" s="4">
        <v>45964</v>
      </c>
    </row>
    <row r="63" spans="1:45" x14ac:dyDescent="0.3">
      <c r="A63" s="7" t="s">
        <v>106</v>
      </c>
      <c r="B63" s="3" t="s">
        <v>100</v>
      </c>
      <c r="C63" s="4">
        <v>45938</v>
      </c>
      <c r="D63" s="8">
        <v>45940</v>
      </c>
      <c r="E63" s="9">
        <v>0.3</v>
      </c>
      <c r="F63" s="4">
        <v>45943</v>
      </c>
      <c r="H63" s="4">
        <v>45945</v>
      </c>
      <c r="J63" s="4">
        <v>45947</v>
      </c>
      <c r="L63" s="4">
        <v>45950</v>
      </c>
      <c r="N63" s="4">
        <v>45951</v>
      </c>
      <c r="P63" s="4">
        <v>45952</v>
      </c>
      <c r="R63" s="4">
        <v>45953</v>
      </c>
      <c r="T63" s="4">
        <v>45954</v>
      </c>
      <c r="V63" s="4">
        <v>45955</v>
      </c>
      <c r="X63" s="4">
        <v>45956</v>
      </c>
      <c r="Z63" s="4">
        <v>45957</v>
      </c>
      <c r="AB63" s="4">
        <v>45958</v>
      </c>
      <c r="AD63" s="4">
        <v>45959</v>
      </c>
      <c r="AF63" s="4">
        <v>45960</v>
      </c>
      <c r="AH63" s="4">
        <v>45961</v>
      </c>
      <c r="AJ63" s="4">
        <v>45962</v>
      </c>
      <c r="AL63" s="4">
        <v>45963</v>
      </c>
      <c r="AN63" s="4">
        <v>45964</v>
      </c>
    </row>
    <row r="64" spans="1:45" x14ac:dyDescent="0.3">
      <c r="A64" s="7" t="s">
        <v>107</v>
      </c>
      <c r="B64" s="3" t="s">
        <v>100</v>
      </c>
      <c r="C64" s="4">
        <v>45938</v>
      </c>
      <c r="F64" s="8">
        <v>45943</v>
      </c>
      <c r="G64" s="9">
        <v>0.3</v>
      </c>
      <c r="H64" s="4">
        <v>45945</v>
      </c>
      <c r="J64" s="4">
        <v>45947</v>
      </c>
      <c r="L64" s="4">
        <v>45950</v>
      </c>
      <c r="N64" s="4">
        <v>45951</v>
      </c>
      <c r="P64" s="4">
        <v>45952</v>
      </c>
      <c r="R64" s="4">
        <v>45953</v>
      </c>
      <c r="T64" s="4">
        <v>45954</v>
      </c>
      <c r="V64" s="4">
        <v>45955</v>
      </c>
      <c r="X64" s="4">
        <v>45956</v>
      </c>
      <c r="Z64" s="4">
        <v>45957</v>
      </c>
      <c r="AB64" s="4">
        <v>45958</v>
      </c>
      <c r="AD64" s="4">
        <v>45959</v>
      </c>
      <c r="AF64" s="4">
        <v>45960</v>
      </c>
      <c r="AH64" s="4">
        <v>45961</v>
      </c>
      <c r="AJ64" s="4">
        <v>45962</v>
      </c>
      <c r="AL64" s="4">
        <v>45963</v>
      </c>
      <c r="AN64" s="4">
        <v>45964</v>
      </c>
    </row>
    <row r="65" spans="1:45" x14ac:dyDescent="0.3">
      <c r="A65" s="7" t="s">
        <v>108</v>
      </c>
      <c r="B65" s="3" t="s">
        <v>100</v>
      </c>
      <c r="C65" s="4">
        <v>45938</v>
      </c>
      <c r="F65" s="8">
        <v>45943</v>
      </c>
      <c r="G65" s="9">
        <v>0.24</v>
      </c>
      <c r="H65" s="4">
        <v>45945</v>
      </c>
      <c r="J65" s="4">
        <v>45947</v>
      </c>
      <c r="L65" s="4">
        <v>45950</v>
      </c>
      <c r="N65" s="4">
        <v>45951</v>
      </c>
      <c r="P65" s="4">
        <v>45952</v>
      </c>
      <c r="R65" s="4">
        <v>45953</v>
      </c>
      <c r="T65" s="4">
        <v>45954</v>
      </c>
      <c r="V65" s="4">
        <v>45955</v>
      </c>
      <c r="X65" s="4">
        <v>45956</v>
      </c>
      <c r="Z65" s="4">
        <v>45957</v>
      </c>
      <c r="AB65" s="4">
        <v>45958</v>
      </c>
      <c r="AD65" s="4">
        <v>45959</v>
      </c>
      <c r="AF65" s="4">
        <v>45960</v>
      </c>
      <c r="AH65" s="4">
        <v>45961</v>
      </c>
      <c r="AJ65" s="4">
        <v>45962</v>
      </c>
      <c r="AL65" s="4">
        <v>45963</v>
      </c>
      <c r="AN65" s="4">
        <v>45964</v>
      </c>
    </row>
    <row r="66" spans="1:45" x14ac:dyDescent="0.3">
      <c r="A66" s="3" t="s">
        <v>109</v>
      </c>
      <c r="B66" s="3" t="s">
        <v>100</v>
      </c>
      <c r="C66" s="4">
        <v>45938</v>
      </c>
      <c r="F66" s="4">
        <v>45943</v>
      </c>
      <c r="G66">
        <v>0.24</v>
      </c>
      <c r="H66" s="4">
        <v>45945</v>
      </c>
      <c r="J66" s="4">
        <v>45947</v>
      </c>
      <c r="L66" s="4">
        <v>45950</v>
      </c>
      <c r="N66" s="4">
        <v>45951</v>
      </c>
      <c r="P66" s="4">
        <v>45952</v>
      </c>
      <c r="R66" s="4">
        <v>45953</v>
      </c>
      <c r="T66" s="4">
        <v>45954</v>
      </c>
      <c r="V66" s="4">
        <v>45955</v>
      </c>
      <c r="X66" s="4">
        <v>45956</v>
      </c>
      <c r="Z66" s="4">
        <v>45957</v>
      </c>
      <c r="AB66" s="4">
        <v>45958</v>
      </c>
      <c r="AD66" s="4">
        <v>45959</v>
      </c>
      <c r="AF66" s="4">
        <v>45960</v>
      </c>
      <c r="AH66" s="4">
        <v>45961</v>
      </c>
      <c r="AJ66" s="4">
        <v>45962</v>
      </c>
      <c r="AL66" s="4">
        <v>45963</v>
      </c>
      <c r="AN66" s="4">
        <v>45964</v>
      </c>
    </row>
    <row r="67" spans="1:45" x14ac:dyDescent="0.3">
      <c r="A67" s="7" t="s">
        <v>110</v>
      </c>
      <c r="B67" s="3" t="s">
        <v>100</v>
      </c>
      <c r="C67" s="4">
        <v>45938</v>
      </c>
      <c r="F67" s="8">
        <v>45943</v>
      </c>
      <c r="G67" s="9">
        <v>0.3</v>
      </c>
      <c r="H67" s="4">
        <v>45945</v>
      </c>
      <c r="J67" s="4">
        <v>45947</v>
      </c>
      <c r="L67" s="4">
        <v>45950</v>
      </c>
      <c r="N67" s="4">
        <v>45951</v>
      </c>
      <c r="P67" s="4">
        <v>45952</v>
      </c>
      <c r="R67" s="4">
        <v>45953</v>
      </c>
      <c r="T67" s="4">
        <v>45954</v>
      </c>
      <c r="V67" s="4">
        <v>45955</v>
      </c>
      <c r="X67" s="4">
        <v>45956</v>
      </c>
      <c r="Z67" s="4">
        <v>45957</v>
      </c>
      <c r="AB67" s="4">
        <v>45958</v>
      </c>
      <c r="AD67" s="4">
        <v>45959</v>
      </c>
      <c r="AF67" s="4">
        <v>45960</v>
      </c>
      <c r="AH67" s="4">
        <v>45961</v>
      </c>
      <c r="AJ67" s="4">
        <v>45962</v>
      </c>
      <c r="AL67" s="4">
        <v>45963</v>
      </c>
      <c r="AN67" s="4">
        <v>45964</v>
      </c>
    </row>
    <row r="68" spans="1:45" x14ac:dyDescent="0.3">
      <c r="A68" s="3" t="s">
        <v>111</v>
      </c>
      <c r="B68" s="3" t="s">
        <v>100</v>
      </c>
      <c r="C68" s="4">
        <v>45938</v>
      </c>
      <c r="F68" s="4">
        <v>45943</v>
      </c>
      <c r="H68" s="4">
        <v>45945</v>
      </c>
      <c r="I68">
        <v>0.24</v>
      </c>
      <c r="J68" s="4">
        <v>45947</v>
      </c>
      <c r="K68">
        <v>0.3</v>
      </c>
      <c r="L68" s="4">
        <v>45950</v>
      </c>
      <c r="M68" t="s">
        <v>169</v>
      </c>
      <c r="N68" s="4">
        <v>45951</v>
      </c>
      <c r="P68" s="4">
        <v>45952</v>
      </c>
      <c r="R68" s="4">
        <v>45953</v>
      </c>
      <c r="T68" s="4">
        <v>45954</v>
      </c>
      <c r="V68" s="4">
        <v>45955</v>
      </c>
      <c r="X68" s="4">
        <v>45956</v>
      </c>
      <c r="Z68" s="4">
        <v>45957</v>
      </c>
      <c r="AB68" s="4">
        <v>45958</v>
      </c>
      <c r="AD68" s="4">
        <v>45959</v>
      </c>
      <c r="AF68" s="4">
        <v>45960</v>
      </c>
      <c r="AH68" s="4">
        <v>45961</v>
      </c>
      <c r="AJ68" s="4">
        <v>45962</v>
      </c>
      <c r="AL68" s="4">
        <v>45963</v>
      </c>
      <c r="AN68" s="4">
        <v>45964</v>
      </c>
    </row>
    <row r="69" spans="1:45" x14ac:dyDescent="0.3">
      <c r="A69" s="3" t="s">
        <v>112</v>
      </c>
      <c r="B69" s="3" t="s">
        <v>100</v>
      </c>
      <c r="C69" s="4">
        <v>45938</v>
      </c>
      <c r="F69" s="4">
        <v>45943</v>
      </c>
      <c r="H69" s="4">
        <v>45945</v>
      </c>
      <c r="J69" s="4">
        <v>45947</v>
      </c>
      <c r="L69" s="4">
        <v>45950</v>
      </c>
      <c r="N69" s="4">
        <v>45951</v>
      </c>
      <c r="P69" s="4">
        <v>45952</v>
      </c>
      <c r="R69" s="4">
        <v>45953</v>
      </c>
      <c r="T69" s="4">
        <v>45954</v>
      </c>
      <c r="V69" s="4">
        <v>45955</v>
      </c>
      <c r="X69" s="4">
        <v>45956</v>
      </c>
      <c r="Z69" s="4">
        <v>45957</v>
      </c>
      <c r="AB69" s="4">
        <v>45958</v>
      </c>
      <c r="AD69" s="4">
        <v>45959</v>
      </c>
      <c r="AF69" s="4">
        <v>45960</v>
      </c>
      <c r="AH69" s="4">
        <v>45961</v>
      </c>
      <c r="AJ69" s="4">
        <v>45962</v>
      </c>
      <c r="AL69" s="4">
        <v>45963</v>
      </c>
      <c r="AN69" s="4">
        <v>45964</v>
      </c>
      <c r="AS69" t="s">
        <v>161</v>
      </c>
    </row>
    <row r="70" spans="1:45" x14ac:dyDescent="0.3">
      <c r="A70" s="3" t="s">
        <v>113</v>
      </c>
      <c r="B70" s="3" t="s">
        <v>100</v>
      </c>
      <c r="C70" s="4">
        <v>45938</v>
      </c>
      <c r="F70" s="4">
        <v>45943</v>
      </c>
      <c r="G70">
        <v>0.3</v>
      </c>
      <c r="H70" s="4">
        <v>45945</v>
      </c>
      <c r="I70">
        <v>0.3</v>
      </c>
      <c r="J70" s="4">
        <v>45947</v>
      </c>
      <c r="L70" s="4">
        <v>45950</v>
      </c>
      <c r="N70" s="4">
        <v>45951</v>
      </c>
      <c r="P70" s="4">
        <v>45952</v>
      </c>
      <c r="R70" s="4">
        <v>45953</v>
      </c>
      <c r="T70" s="4">
        <v>45954</v>
      </c>
      <c r="V70" s="4">
        <v>45955</v>
      </c>
      <c r="X70" s="4">
        <v>45956</v>
      </c>
      <c r="Z70" s="4">
        <v>45957</v>
      </c>
      <c r="AB70" s="4">
        <v>45958</v>
      </c>
      <c r="AD70" s="4">
        <v>45959</v>
      </c>
      <c r="AF70" s="4">
        <v>45960</v>
      </c>
      <c r="AH70" s="4">
        <v>45961</v>
      </c>
      <c r="AJ70" s="4">
        <v>45962</v>
      </c>
      <c r="AL70" s="4">
        <v>45963</v>
      </c>
      <c r="AN70" s="4">
        <v>45964</v>
      </c>
      <c r="AS70" t="s">
        <v>155</v>
      </c>
    </row>
    <row r="71" spans="1:45" x14ac:dyDescent="0.3">
      <c r="A71" s="7" t="s">
        <v>114</v>
      </c>
      <c r="B71" s="3" t="s">
        <v>100</v>
      </c>
      <c r="C71" s="4">
        <v>45938</v>
      </c>
      <c r="F71" s="8">
        <v>45943</v>
      </c>
      <c r="G71" s="9" t="s">
        <v>151</v>
      </c>
      <c r="H71" s="4">
        <v>45945</v>
      </c>
      <c r="J71" s="4">
        <v>45947</v>
      </c>
      <c r="L71" s="4">
        <v>45950</v>
      </c>
      <c r="N71" s="4">
        <v>45951</v>
      </c>
      <c r="P71" s="4">
        <v>45952</v>
      </c>
      <c r="R71" s="4">
        <v>45953</v>
      </c>
      <c r="T71" s="4">
        <v>45954</v>
      </c>
      <c r="V71" s="4">
        <v>45955</v>
      </c>
      <c r="X71" s="4">
        <v>45956</v>
      </c>
      <c r="Z71" s="4">
        <v>45957</v>
      </c>
      <c r="AB71" s="4">
        <v>45958</v>
      </c>
      <c r="AD71" s="4">
        <v>45959</v>
      </c>
      <c r="AF71" s="4">
        <v>45960</v>
      </c>
      <c r="AH71" s="4">
        <v>45961</v>
      </c>
      <c r="AJ71" s="4">
        <v>45962</v>
      </c>
      <c r="AL71" s="4">
        <v>45963</v>
      </c>
      <c r="AN71" s="4">
        <v>45964</v>
      </c>
      <c r="AS71" t="s">
        <v>153</v>
      </c>
    </row>
    <row r="72" spans="1:45" x14ac:dyDescent="0.3">
      <c r="A72" s="7" t="s">
        <v>115</v>
      </c>
      <c r="B72" s="3" t="s">
        <v>100</v>
      </c>
      <c r="C72" s="4">
        <v>45938</v>
      </c>
      <c r="F72" s="8">
        <v>45943</v>
      </c>
      <c r="G72" s="9" t="s">
        <v>151</v>
      </c>
      <c r="H72" s="4">
        <v>45945</v>
      </c>
      <c r="J72" s="4">
        <v>45947</v>
      </c>
      <c r="L72" s="4">
        <v>45950</v>
      </c>
      <c r="N72" s="4">
        <v>45951</v>
      </c>
      <c r="P72" s="4">
        <v>45952</v>
      </c>
      <c r="R72" s="4">
        <v>45953</v>
      </c>
      <c r="T72" s="4">
        <v>45954</v>
      </c>
      <c r="V72" s="4">
        <v>45955</v>
      </c>
      <c r="X72" s="4">
        <v>45956</v>
      </c>
      <c r="Z72" s="4">
        <v>45957</v>
      </c>
      <c r="AB72" s="4">
        <v>45958</v>
      </c>
      <c r="AD72" s="4">
        <v>45959</v>
      </c>
      <c r="AF72" s="4">
        <v>45960</v>
      </c>
      <c r="AH72" s="4">
        <v>45961</v>
      </c>
      <c r="AJ72" s="4">
        <v>45962</v>
      </c>
      <c r="AL72" s="4">
        <v>45963</v>
      </c>
      <c r="AN72" s="4">
        <v>45964</v>
      </c>
      <c r="AS72" t="s">
        <v>155</v>
      </c>
    </row>
    <row r="73" spans="1:45" x14ac:dyDescent="0.3">
      <c r="A73" s="3" t="s">
        <v>116</v>
      </c>
      <c r="B73" s="3" t="s">
        <v>100</v>
      </c>
      <c r="C73" s="4">
        <v>45938</v>
      </c>
      <c r="F73" s="4">
        <v>45943</v>
      </c>
      <c r="H73" s="4">
        <v>45945</v>
      </c>
      <c r="J73" s="4">
        <v>45947</v>
      </c>
      <c r="L73" s="4">
        <v>45950</v>
      </c>
      <c r="N73" s="4">
        <v>45951</v>
      </c>
      <c r="P73" s="4">
        <v>45952</v>
      </c>
      <c r="R73" s="4">
        <v>45953</v>
      </c>
      <c r="T73" s="4">
        <v>45954</v>
      </c>
      <c r="V73" s="4">
        <v>45955</v>
      </c>
      <c r="X73" s="4">
        <v>45956</v>
      </c>
      <c r="Z73" s="4">
        <v>45957</v>
      </c>
      <c r="AB73" s="4">
        <v>45958</v>
      </c>
      <c r="AD73" s="4">
        <v>45959</v>
      </c>
      <c r="AF73" s="4">
        <v>45960</v>
      </c>
      <c r="AH73" s="4">
        <v>45961</v>
      </c>
      <c r="AJ73" s="4">
        <v>45962</v>
      </c>
      <c r="AL73" s="4">
        <v>45963</v>
      </c>
      <c r="AN73" s="4">
        <v>45964</v>
      </c>
      <c r="AS73" t="s">
        <v>153</v>
      </c>
    </row>
    <row r="74" spans="1:45" x14ac:dyDescent="0.3">
      <c r="A74" s="3" t="s">
        <v>117</v>
      </c>
      <c r="B74" s="3" t="s">
        <v>100</v>
      </c>
      <c r="C74" s="4">
        <v>45938</v>
      </c>
      <c r="F74" s="4">
        <v>45943</v>
      </c>
      <c r="H74" s="4">
        <v>45945</v>
      </c>
      <c r="J74" s="4">
        <v>45947</v>
      </c>
      <c r="L74" s="4">
        <v>45950</v>
      </c>
      <c r="N74" s="4">
        <v>45951</v>
      </c>
      <c r="P74" s="4">
        <v>45952</v>
      </c>
      <c r="R74" s="4">
        <v>45953</v>
      </c>
      <c r="T74" s="4">
        <v>45954</v>
      </c>
      <c r="V74" s="4">
        <v>45955</v>
      </c>
      <c r="X74" s="4">
        <v>45956</v>
      </c>
      <c r="Z74" s="4">
        <v>45957</v>
      </c>
      <c r="AB74" s="4">
        <v>45958</v>
      </c>
      <c r="AD74" s="4">
        <v>45959</v>
      </c>
      <c r="AF74" s="4">
        <v>45960</v>
      </c>
      <c r="AH74" s="4">
        <v>45961</v>
      </c>
      <c r="AJ74" s="4">
        <v>45962</v>
      </c>
      <c r="AL74" s="4">
        <v>45963</v>
      </c>
      <c r="AN74" s="4">
        <v>45964</v>
      </c>
      <c r="AS74" t="s">
        <v>153</v>
      </c>
    </row>
    <row r="75" spans="1:45" x14ac:dyDescent="0.3">
      <c r="A75" s="7" t="s">
        <v>118</v>
      </c>
      <c r="B75" s="3" t="s">
        <v>100</v>
      </c>
      <c r="C75" s="4">
        <v>45938</v>
      </c>
      <c r="F75" s="4">
        <v>45943</v>
      </c>
      <c r="H75" s="4">
        <v>45945</v>
      </c>
      <c r="J75" s="8">
        <v>45947</v>
      </c>
      <c r="K75" s="9" t="s">
        <v>151</v>
      </c>
      <c r="L75" s="4">
        <v>45950</v>
      </c>
      <c r="N75" s="4">
        <v>45951</v>
      </c>
      <c r="P75" s="4">
        <v>45952</v>
      </c>
      <c r="R75" s="4">
        <v>45953</v>
      </c>
      <c r="T75" s="4">
        <v>45954</v>
      </c>
      <c r="V75" s="4">
        <v>45955</v>
      </c>
      <c r="X75" s="4">
        <v>45956</v>
      </c>
      <c r="Z75" s="4">
        <v>45957</v>
      </c>
      <c r="AB75" s="4">
        <v>45958</v>
      </c>
      <c r="AD75" s="4">
        <v>45959</v>
      </c>
      <c r="AF75" s="4">
        <v>45960</v>
      </c>
      <c r="AH75" s="4">
        <v>45961</v>
      </c>
      <c r="AJ75" s="4">
        <v>45962</v>
      </c>
      <c r="AL75" s="4">
        <v>45963</v>
      </c>
      <c r="AN75" s="4">
        <v>45964</v>
      </c>
      <c r="AS75" t="s">
        <v>152</v>
      </c>
    </row>
    <row r="76" spans="1:45" x14ac:dyDescent="0.3">
      <c r="A76" s="7" t="s">
        <v>119</v>
      </c>
      <c r="B76" s="3" t="s">
        <v>100</v>
      </c>
      <c r="C76" s="4">
        <v>45938</v>
      </c>
      <c r="D76" s="8">
        <v>45940</v>
      </c>
      <c r="E76" s="9">
        <v>0.3</v>
      </c>
      <c r="F76" s="4">
        <v>45943</v>
      </c>
      <c r="H76" s="4">
        <v>45945</v>
      </c>
      <c r="J76" s="4">
        <v>45947</v>
      </c>
      <c r="L76" s="4">
        <v>45950</v>
      </c>
      <c r="N76" s="4">
        <v>45951</v>
      </c>
      <c r="P76" s="4">
        <v>45952</v>
      </c>
      <c r="R76" s="4">
        <v>45953</v>
      </c>
      <c r="T76" s="4">
        <v>45954</v>
      </c>
      <c r="V76" s="4">
        <v>45955</v>
      </c>
      <c r="X76" s="4">
        <v>45956</v>
      </c>
      <c r="Z76" s="4">
        <v>45957</v>
      </c>
      <c r="AB76" s="4">
        <v>45958</v>
      </c>
      <c r="AD76" s="4">
        <v>45959</v>
      </c>
      <c r="AF76" s="4">
        <v>45960</v>
      </c>
      <c r="AH76" s="4">
        <v>45961</v>
      </c>
      <c r="AJ76" s="4">
        <v>45962</v>
      </c>
      <c r="AL76" s="4">
        <v>45963</v>
      </c>
      <c r="AN76" s="4">
        <v>45964</v>
      </c>
      <c r="AS76" t="s">
        <v>155</v>
      </c>
    </row>
    <row r="77" spans="1:45" x14ac:dyDescent="0.3">
      <c r="A77" s="7" t="s">
        <v>120</v>
      </c>
      <c r="B77" s="3" t="s">
        <v>100</v>
      </c>
      <c r="C77" s="4">
        <v>45938</v>
      </c>
      <c r="F77" s="8">
        <v>45943</v>
      </c>
      <c r="G77" s="9" t="s">
        <v>151</v>
      </c>
      <c r="H77" s="4">
        <v>45945</v>
      </c>
      <c r="J77" s="4">
        <v>45947</v>
      </c>
      <c r="L77" s="4">
        <v>45950</v>
      </c>
      <c r="N77" s="4">
        <v>45951</v>
      </c>
      <c r="P77" s="4">
        <v>45952</v>
      </c>
      <c r="R77" s="4">
        <v>45953</v>
      </c>
      <c r="T77" s="4">
        <v>45954</v>
      </c>
      <c r="V77" s="4">
        <v>45955</v>
      </c>
      <c r="X77" s="4">
        <v>45956</v>
      </c>
      <c r="Z77" s="4">
        <v>45957</v>
      </c>
      <c r="AB77" s="4">
        <v>45958</v>
      </c>
      <c r="AD77" s="4">
        <v>45959</v>
      </c>
      <c r="AF77" s="4">
        <v>45960</v>
      </c>
      <c r="AH77" s="4">
        <v>45961</v>
      </c>
      <c r="AJ77" s="4">
        <v>45962</v>
      </c>
      <c r="AL77" s="4">
        <v>45963</v>
      </c>
      <c r="AN77" s="4">
        <v>45964</v>
      </c>
    </row>
    <row r="78" spans="1:45" x14ac:dyDescent="0.3">
      <c r="A78" s="7" t="s">
        <v>121</v>
      </c>
      <c r="B78" s="3" t="s">
        <v>100</v>
      </c>
      <c r="C78" s="4">
        <v>45938</v>
      </c>
      <c r="F78" s="4">
        <v>45943</v>
      </c>
      <c r="H78" s="8">
        <v>45945</v>
      </c>
      <c r="I78" s="9" t="s">
        <v>165</v>
      </c>
      <c r="J78" s="4">
        <v>45947</v>
      </c>
      <c r="L78" s="4">
        <v>45950</v>
      </c>
      <c r="N78" s="4">
        <v>45951</v>
      </c>
      <c r="P78" s="4">
        <v>45952</v>
      </c>
      <c r="R78" s="4">
        <v>45953</v>
      </c>
      <c r="T78" s="4">
        <v>45954</v>
      </c>
      <c r="V78" s="4">
        <v>45955</v>
      </c>
      <c r="X78" s="4">
        <v>45956</v>
      </c>
      <c r="Z78" s="4">
        <v>45957</v>
      </c>
      <c r="AB78" s="4">
        <v>45958</v>
      </c>
      <c r="AD78" s="4">
        <v>45959</v>
      </c>
      <c r="AF78" s="4">
        <v>45960</v>
      </c>
      <c r="AH78" s="4">
        <v>45961</v>
      </c>
      <c r="AJ78" s="4">
        <v>45962</v>
      </c>
      <c r="AL78" s="4">
        <v>45963</v>
      </c>
      <c r="AN78" s="4">
        <v>45964</v>
      </c>
    </row>
    <row r="79" spans="1:45" x14ac:dyDescent="0.3">
      <c r="A79" s="7" t="s">
        <v>122</v>
      </c>
      <c r="B79" s="3" t="s">
        <v>100</v>
      </c>
      <c r="C79" s="4">
        <v>45938</v>
      </c>
      <c r="D79" s="8">
        <v>45939</v>
      </c>
      <c r="E79" s="9">
        <v>0.3</v>
      </c>
      <c r="F79" s="4">
        <v>45943</v>
      </c>
      <c r="H79" s="4">
        <v>45945</v>
      </c>
      <c r="J79" s="4">
        <v>45947</v>
      </c>
      <c r="L79" s="4">
        <v>45950</v>
      </c>
      <c r="N79" s="4">
        <v>45951</v>
      </c>
      <c r="P79" s="4">
        <v>45952</v>
      </c>
      <c r="R79" s="4">
        <v>45953</v>
      </c>
      <c r="T79" s="4">
        <v>45954</v>
      </c>
      <c r="V79" s="4">
        <v>45955</v>
      </c>
      <c r="X79" s="4">
        <v>45956</v>
      </c>
      <c r="Z79" s="4">
        <v>45957</v>
      </c>
      <c r="AB79" s="4">
        <v>45958</v>
      </c>
      <c r="AD79" s="4">
        <v>45959</v>
      </c>
      <c r="AF79" s="4">
        <v>45960</v>
      </c>
      <c r="AH79" s="4">
        <v>45961</v>
      </c>
      <c r="AJ79" s="4">
        <v>45962</v>
      </c>
      <c r="AL79" s="4">
        <v>45963</v>
      </c>
      <c r="AN79" s="4">
        <v>45964</v>
      </c>
      <c r="AS79" t="s">
        <v>155</v>
      </c>
    </row>
    <row r="80" spans="1:45" x14ac:dyDescent="0.3">
      <c r="A80" s="6" t="s">
        <v>123</v>
      </c>
      <c r="B80" s="3" t="s">
        <v>100</v>
      </c>
      <c r="C80" s="4">
        <v>45938</v>
      </c>
      <c r="F80" s="4">
        <v>45943</v>
      </c>
      <c r="G80">
        <v>0.6</v>
      </c>
      <c r="H80" s="4">
        <v>45945</v>
      </c>
      <c r="I80">
        <v>0.66</v>
      </c>
      <c r="J80" s="4">
        <v>45947</v>
      </c>
      <c r="K80" t="s">
        <v>167</v>
      </c>
      <c r="L80" s="13">
        <v>45950</v>
      </c>
      <c r="M80" s="5" t="s">
        <v>70</v>
      </c>
      <c r="N80" s="4">
        <v>45951</v>
      </c>
      <c r="P80" s="4">
        <v>45952</v>
      </c>
      <c r="R80" s="4">
        <v>45953</v>
      </c>
      <c r="T80" s="13">
        <v>45954</v>
      </c>
      <c r="U80" s="5" t="s">
        <v>75</v>
      </c>
      <c r="V80" s="4">
        <v>45955</v>
      </c>
      <c r="X80" s="4">
        <v>45956</v>
      </c>
      <c r="Z80" s="4">
        <v>45957</v>
      </c>
      <c r="AB80" s="4">
        <v>45958</v>
      </c>
      <c r="AD80" s="4">
        <v>45959</v>
      </c>
      <c r="AF80" s="4">
        <v>45960</v>
      </c>
      <c r="AH80" s="4">
        <v>45961</v>
      </c>
      <c r="AJ80" s="4">
        <v>45962</v>
      </c>
      <c r="AL80" s="4">
        <v>45963</v>
      </c>
      <c r="AN80" s="4">
        <v>45964</v>
      </c>
    </row>
    <row r="81" spans="1:45" x14ac:dyDescent="0.3">
      <c r="A81" s="7" t="s">
        <v>124</v>
      </c>
      <c r="B81" s="3" t="s">
        <v>100</v>
      </c>
      <c r="C81" s="4">
        <v>45938</v>
      </c>
      <c r="D81" s="8">
        <v>45939</v>
      </c>
      <c r="E81" s="9">
        <v>0.3</v>
      </c>
      <c r="F81" s="4">
        <v>45943</v>
      </c>
      <c r="H81" s="4">
        <v>45945</v>
      </c>
      <c r="J81" s="4">
        <v>45947</v>
      </c>
      <c r="L81" s="4">
        <v>45950</v>
      </c>
      <c r="N81" s="4">
        <v>45951</v>
      </c>
      <c r="P81" s="4">
        <v>45952</v>
      </c>
      <c r="R81" s="4">
        <v>45953</v>
      </c>
      <c r="T81" s="4">
        <v>45954</v>
      </c>
      <c r="V81" s="4">
        <v>45955</v>
      </c>
      <c r="X81" s="4">
        <v>45956</v>
      </c>
      <c r="Z81" s="4">
        <v>45957</v>
      </c>
      <c r="AB81" s="4">
        <v>45958</v>
      </c>
      <c r="AD81" s="4">
        <v>45959</v>
      </c>
      <c r="AF81" s="4">
        <v>45960</v>
      </c>
      <c r="AH81" s="4">
        <v>45961</v>
      </c>
      <c r="AJ81" s="4">
        <v>45962</v>
      </c>
      <c r="AL81" s="4">
        <v>45963</v>
      </c>
      <c r="AN81" s="4">
        <v>45964</v>
      </c>
    </row>
    <row r="82" spans="1:45" x14ac:dyDescent="0.3">
      <c r="A82" s="6" t="s">
        <v>126</v>
      </c>
      <c r="B82" s="3" t="s">
        <v>125</v>
      </c>
      <c r="C82" s="4">
        <v>45938</v>
      </c>
      <c r="F82" s="4">
        <v>45943</v>
      </c>
      <c r="G82">
        <v>0.3</v>
      </c>
      <c r="H82" s="4">
        <v>45945</v>
      </c>
      <c r="I82">
        <v>0.42</v>
      </c>
      <c r="J82" s="4">
        <v>45947</v>
      </c>
      <c r="K82">
        <v>0.48</v>
      </c>
      <c r="L82" s="4">
        <v>45950</v>
      </c>
      <c r="M82">
        <v>0.66</v>
      </c>
      <c r="N82" s="4">
        <v>45951</v>
      </c>
      <c r="O82">
        <v>0.66</v>
      </c>
      <c r="P82" s="4">
        <v>45952</v>
      </c>
      <c r="Q82">
        <v>0.66</v>
      </c>
      <c r="R82" s="4">
        <v>45953</v>
      </c>
      <c r="T82" s="4">
        <v>45954</v>
      </c>
      <c r="U82">
        <v>0.66</v>
      </c>
      <c r="V82" s="4">
        <v>45955</v>
      </c>
      <c r="W82" t="s">
        <v>69</v>
      </c>
      <c r="X82" s="13">
        <v>45956</v>
      </c>
      <c r="Y82" s="5" t="s">
        <v>70</v>
      </c>
      <c r="Z82" s="4">
        <v>45957</v>
      </c>
      <c r="AB82" s="4">
        <v>45958</v>
      </c>
      <c r="AD82" s="4">
        <v>45959</v>
      </c>
      <c r="AF82" s="4">
        <v>45960</v>
      </c>
      <c r="AH82" s="13">
        <v>45961</v>
      </c>
      <c r="AI82" s="5" t="s">
        <v>177</v>
      </c>
      <c r="AJ82" s="4">
        <v>45962</v>
      </c>
      <c r="AL82" s="4">
        <v>45963</v>
      </c>
      <c r="AN82" s="4">
        <v>45964</v>
      </c>
    </row>
    <row r="83" spans="1:45" x14ac:dyDescent="0.3">
      <c r="A83" s="3" t="s">
        <v>127</v>
      </c>
      <c r="B83" s="3" t="s">
        <v>125</v>
      </c>
      <c r="C83" s="4">
        <v>45938</v>
      </c>
      <c r="F83" s="4">
        <v>45943</v>
      </c>
      <c r="H83" s="4">
        <v>45945</v>
      </c>
      <c r="J83" s="4">
        <v>45947</v>
      </c>
      <c r="L83" s="4">
        <v>45950</v>
      </c>
      <c r="N83" s="4">
        <v>45951</v>
      </c>
      <c r="P83" s="4">
        <v>45952</v>
      </c>
      <c r="R83" s="4">
        <v>45953</v>
      </c>
      <c r="T83" s="4">
        <v>45954</v>
      </c>
      <c r="V83" s="4">
        <v>45955</v>
      </c>
      <c r="X83" s="4">
        <v>45956</v>
      </c>
      <c r="Z83" s="4">
        <v>45957</v>
      </c>
      <c r="AB83" s="4">
        <v>45958</v>
      </c>
      <c r="AD83" s="4">
        <v>45959</v>
      </c>
      <c r="AF83" s="4">
        <v>45960</v>
      </c>
      <c r="AH83" s="4">
        <v>45961</v>
      </c>
      <c r="AJ83" s="4">
        <v>45962</v>
      </c>
      <c r="AL83" s="4">
        <v>45963</v>
      </c>
      <c r="AN83" s="4">
        <v>45964</v>
      </c>
    </row>
    <row r="84" spans="1:45" x14ac:dyDescent="0.3">
      <c r="A84" s="3" t="s">
        <v>128</v>
      </c>
      <c r="B84" s="3" t="s">
        <v>125</v>
      </c>
      <c r="C84" s="4">
        <v>45938</v>
      </c>
      <c r="F84" s="4">
        <v>45943</v>
      </c>
      <c r="H84" s="4">
        <v>45945</v>
      </c>
      <c r="J84" s="4">
        <v>45947</v>
      </c>
      <c r="L84" s="4">
        <v>45950</v>
      </c>
      <c r="N84" s="4">
        <v>45951</v>
      </c>
      <c r="P84" s="4">
        <v>45952</v>
      </c>
      <c r="R84" s="4">
        <v>45953</v>
      </c>
      <c r="T84" s="4">
        <v>45954</v>
      </c>
      <c r="V84" s="4">
        <v>45955</v>
      </c>
      <c r="X84" s="4">
        <v>45956</v>
      </c>
      <c r="Z84" s="4">
        <v>45957</v>
      </c>
      <c r="AB84" s="4">
        <v>45958</v>
      </c>
      <c r="AD84" s="4">
        <v>45959</v>
      </c>
      <c r="AF84" s="4">
        <v>45960</v>
      </c>
      <c r="AH84" s="4">
        <v>45961</v>
      </c>
      <c r="AJ84" s="4">
        <v>45962</v>
      </c>
      <c r="AL84" s="4">
        <v>45963</v>
      </c>
      <c r="AN84" s="4">
        <v>45964</v>
      </c>
    </row>
    <row r="85" spans="1:45" x14ac:dyDescent="0.3">
      <c r="A85" s="3" t="s">
        <v>130</v>
      </c>
      <c r="B85" s="3" t="s">
        <v>125</v>
      </c>
      <c r="C85" s="4">
        <v>45938</v>
      </c>
      <c r="F85" s="4">
        <v>45943</v>
      </c>
      <c r="H85" s="4">
        <v>45945</v>
      </c>
      <c r="J85" s="4">
        <v>45947</v>
      </c>
      <c r="L85" s="4">
        <v>45950</v>
      </c>
      <c r="N85" s="4">
        <v>45951</v>
      </c>
      <c r="P85" s="4">
        <v>45952</v>
      </c>
      <c r="R85" s="4">
        <v>45953</v>
      </c>
      <c r="T85" s="4">
        <v>45954</v>
      </c>
      <c r="V85" s="4">
        <v>45955</v>
      </c>
      <c r="X85" s="4">
        <v>45956</v>
      </c>
      <c r="Z85" s="4">
        <v>45957</v>
      </c>
      <c r="AB85" s="4">
        <v>45958</v>
      </c>
      <c r="AD85" s="4">
        <v>45959</v>
      </c>
      <c r="AF85" s="4">
        <v>45960</v>
      </c>
      <c r="AH85" s="4">
        <v>45961</v>
      </c>
      <c r="AJ85" s="4">
        <v>45962</v>
      </c>
      <c r="AL85" s="4">
        <v>45963</v>
      </c>
      <c r="AN85" s="4">
        <v>45964</v>
      </c>
    </row>
    <row r="86" spans="1:45" x14ac:dyDescent="0.3">
      <c r="A86" s="3" t="s">
        <v>129</v>
      </c>
      <c r="B86" s="3" t="s">
        <v>125</v>
      </c>
      <c r="C86" s="4">
        <v>45938</v>
      </c>
      <c r="F86" s="4">
        <v>45943</v>
      </c>
      <c r="H86" s="4">
        <v>45945</v>
      </c>
      <c r="J86" s="4">
        <v>45947</v>
      </c>
      <c r="L86" s="4">
        <v>45950</v>
      </c>
      <c r="N86" s="4">
        <v>45951</v>
      </c>
      <c r="P86" s="4">
        <v>45952</v>
      </c>
      <c r="R86" s="4">
        <v>45953</v>
      </c>
      <c r="T86" s="4">
        <v>45954</v>
      </c>
      <c r="V86" s="4">
        <v>45955</v>
      </c>
      <c r="X86" s="4">
        <v>45956</v>
      </c>
      <c r="Z86" s="4">
        <v>45957</v>
      </c>
      <c r="AB86" s="4">
        <v>45958</v>
      </c>
      <c r="AD86" s="4">
        <v>45959</v>
      </c>
      <c r="AF86" s="4">
        <v>45960</v>
      </c>
      <c r="AH86" s="4">
        <v>45961</v>
      </c>
      <c r="AJ86" s="4">
        <v>45962</v>
      </c>
      <c r="AL86" s="4">
        <v>45963</v>
      </c>
      <c r="AN86" s="4">
        <v>45964</v>
      </c>
    </row>
    <row r="87" spans="1:45" x14ac:dyDescent="0.3">
      <c r="A87" s="7" t="s">
        <v>131</v>
      </c>
      <c r="B87" s="3" t="s">
        <v>125</v>
      </c>
      <c r="C87" s="4">
        <v>45938</v>
      </c>
      <c r="D87" s="8">
        <v>45939</v>
      </c>
      <c r="E87" s="9">
        <v>0.3</v>
      </c>
      <c r="F87" s="4">
        <v>45943</v>
      </c>
      <c r="H87" s="4">
        <v>45945</v>
      </c>
      <c r="J87" s="4">
        <v>45947</v>
      </c>
      <c r="L87" s="4">
        <v>45950</v>
      </c>
      <c r="N87" s="4">
        <v>45951</v>
      </c>
      <c r="P87" s="4">
        <v>45952</v>
      </c>
      <c r="R87" s="4">
        <v>45953</v>
      </c>
      <c r="T87" s="4">
        <v>45954</v>
      </c>
      <c r="V87" s="4">
        <v>45955</v>
      </c>
      <c r="X87" s="4">
        <v>45956</v>
      </c>
      <c r="Z87" s="4">
        <v>45957</v>
      </c>
      <c r="AB87" s="4">
        <v>45958</v>
      </c>
      <c r="AD87" s="4">
        <v>45959</v>
      </c>
      <c r="AF87" s="4">
        <v>45960</v>
      </c>
      <c r="AH87" s="4">
        <v>45961</v>
      </c>
      <c r="AJ87" s="4">
        <v>45962</v>
      </c>
      <c r="AL87" s="4">
        <v>45963</v>
      </c>
      <c r="AN87" s="4">
        <v>45964</v>
      </c>
    </row>
    <row r="88" spans="1:45" x14ac:dyDescent="0.3">
      <c r="A88" s="6" t="s">
        <v>132</v>
      </c>
      <c r="B88" s="3" t="s">
        <v>125</v>
      </c>
      <c r="C88" s="4">
        <v>45938</v>
      </c>
      <c r="F88" s="4">
        <v>45943</v>
      </c>
      <c r="G88">
        <v>0.42</v>
      </c>
      <c r="H88" s="4">
        <v>45945</v>
      </c>
      <c r="I88">
        <v>0.42</v>
      </c>
      <c r="J88" s="4">
        <v>45947</v>
      </c>
      <c r="K88">
        <v>0.6</v>
      </c>
      <c r="L88" s="4">
        <v>45950</v>
      </c>
      <c r="M88">
        <v>0.66</v>
      </c>
      <c r="N88" s="4">
        <v>45951</v>
      </c>
      <c r="P88" s="4">
        <v>45952</v>
      </c>
      <c r="Q88" t="s">
        <v>69</v>
      </c>
      <c r="R88" s="4">
        <v>45953</v>
      </c>
      <c r="S88" t="s">
        <v>69</v>
      </c>
      <c r="T88" s="13">
        <v>45954</v>
      </c>
      <c r="U88" s="5" t="s">
        <v>70</v>
      </c>
      <c r="V88" s="13">
        <v>45955</v>
      </c>
      <c r="W88" s="5" t="s">
        <v>70</v>
      </c>
      <c r="X88" s="4">
        <v>45956</v>
      </c>
      <c r="Z88" s="4">
        <v>45957</v>
      </c>
      <c r="AB88" s="4">
        <v>45958</v>
      </c>
      <c r="AD88" s="4">
        <v>45959</v>
      </c>
      <c r="AE88" s="5" t="s">
        <v>177</v>
      </c>
      <c r="AF88" s="4">
        <v>45960</v>
      </c>
      <c r="AH88" s="4">
        <v>45961</v>
      </c>
      <c r="AJ88" s="4">
        <v>45962</v>
      </c>
      <c r="AL88" s="4">
        <v>45963</v>
      </c>
      <c r="AN88" s="4">
        <v>45964</v>
      </c>
    </row>
    <row r="89" spans="1:45" x14ac:dyDescent="0.3">
      <c r="A89" s="6" t="s">
        <v>133</v>
      </c>
      <c r="B89" s="3" t="s">
        <v>125</v>
      </c>
      <c r="C89" s="4">
        <v>45938</v>
      </c>
      <c r="F89" s="4">
        <v>45943</v>
      </c>
      <c r="G89">
        <v>0.42</v>
      </c>
      <c r="H89" s="4">
        <v>45945</v>
      </c>
      <c r="I89">
        <v>0.42</v>
      </c>
      <c r="J89" s="4">
        <v>45947</v>
      </c>
      <c r="K89">
        <v>0.54</v>
      </c>
      <c r="L89" s="4">
        <v>45950</v>
      </c>
      <c r="M89">
        <v>0.66</v>
      </c>
      <c r="N89" s="4">
        <v>45951</v>
      </c>
      <c r="O89" t="s">
        <v>69</v>
      </c>
      <c r="P89" s="4">
        <v>45952</v>
      </c>
      <c r="Q89" t="s">
        <v>69</v>
      </c>
      <c r="R89" s="13">
        <v>45953</v>
      </c>
      <c r="S89" s="5" t="s">
        <v>70</v>
      </c>
      <c r="T89" s="4">
        <v>45954</v>
      </c>
      <c r="U89" t="s">
        <v>70</v>
      </c>
      <c r="V89" s="13">
        <v>45955</v>
      </c>
      <c r="W89" s="5" t="s">
        <v>70</v>
      </c>
      <c r="X89" s="4">
        <v>45956</v>
      </c>
      <c r="Z89" s="13">
        <v>45957</v>
      </c>
      <c r="AA89" s="5" t="s">
        <v>177</v>
      </c>
      <c r="AB89" s="4">
        <v>45958</v>
      </c>
      <c r="AD89" s="4">
        <v>45959</v>
      </c>
      <c r="AF89" s="4">
        <v>45960</v>
      </c>
      <c r="AH89" s="4">
        <v>45961</v>
      </c>
      <c r="AJ89" s="4">
        <v>45962</v>
      </c>
      <c r="AL89" s="4">
        <v>45963</v>
      </c>
      <c r="AN89" s="4">
        <v>45964</v>
      </c>
    </row>
    <row r="90" spans="1:45" x14ac:dyDescent="0.3">
      <c r="A90" s="6" t="s">
        <v>134</v>
      </c>
      <c r="B90" s="3" t="s">
        <v>125</v>
      </c>
      <c r="C90" s="4">
        <v>45938</v>
      </c>
      <c r="F90" s="4">
        <v>45943</v>
      </c>
      <c r="G90">
        <v>0.42</v>
      </c>
      <c r="H90" s="4">
        <v>45945</v>
      </c>
      <c r="I90">
        <v>0.42</v>
      </c>
      <c r="J90" s="4">
        <v>45947</v>
      </c>
      <c r="K90">
        <v>0.42</v>
      </c>
      <c r="L90" s="4">
        <v>45950</v>
      </c>
      <c r="M90">
        <v>0.6</v>
      </c>
      <c r="N90" s="4">
        <v>45951</v>
      </c>
      <c r="O90">
        <v>0.6</v>
      </c>
      <c r="P90" s="4">
        <v>45952</v>
      </c>
      <c r="Q90">
        <v>0.6</v>
      </c>
      <c r="R90" s="4">
        <v>45953</v>
      </c>
      <c r="T90" s="4">
        <v>45954</v>
      </c>
      <c r="U90">
        <v>0.6</v>
      </c>
      <c r="V90" s="4">
        <v>45955</v>
      </c>
      <c r="W90" t="s">
        <v>69</v>
      </c>
      <c r="X90" s="4">
        <v>45956</v>
      </c>
      <c r="Y90" t="s">
        <v>69</v>
      </c>
      <c r="Z90" s="13">
        <v>45957</v>
      </c>
      <c r="AA90" s="5" t="s">
        <v>178</v>
      </c>
      <c r="AB90" s="4">
        <v>45958</v>
      </c>
      <c r="AD90" s="4">
        <v>45959</v>
      </c>
      <c r="AF90" s="4">
        <v>45960</v>
      </c>
      <c r="AH90" s="4">
        <v>45961</v>
      </c>
      <c r="AJ90" s="4">
        <v>45962</v>
      </c>
      <c r="AL90" s="13">
        <v>45963</v>
      </c>
      <c r="AM90" s="5" t="s">
        <v>75</v>
      </c>
      <c r="AN90" s="4">
        <v>45964</v>
      </c>
    </row>
    <row r="91" spans="1:45" x14ac:dyDescent="0.3">
      <c r="A91" s="3" t="s">
        <v>135</v>
      </c>
      <c r="B91" s="3" t="s">
        <v>125</v>
      </c>
      <c r="C91" s="4">
        <v>45938</v>
      </c>
      <c r="F91" s="4">
        <v>45943</v>
      </c>
      <c r="H91" s="4">
        <v>45945</v>
      </c>
      <c r="J91" s="4">
        <v>45947</v>
      </c>
      <c r="L91" s="4">
        <v>45950</v>
      </c>
      <c r="N91" s="4">
        <v>45951</v>
      </c>
      <c r="P91" s="4">
        <v>45952</v>
      </c>
      <c r="R91" s="4">
        <v>45953</v>
      </c>
      <c r="T91" s="4">
        <v>45954</v>
      </c>
      <c r="V91" s="4">
        <v>45955</v>
      </c>
      <c r="X91" s="4">
        <v>45956</v>
      </c>
      <c r="Z91" s="4">
        <v>45957</v>
      </c>
      <c r="AB91" s="4">
        <v>45958</v>
      </c>
      <c r="AD91" s="4">
        <v>45959</v>
      </c>
      <c r="AF91" s="4">
        <v>45960</v>
      </c>
      <c r="AH91" s="4">
        <v>45961</v>
      </c>
      <c r="AJ91" s="4">
        <v>45962</v>
      </c>
      <c r="AL91" s="4">
        <v>45963</v>
      </c>
      <c r="AN91" s="4">
        <v>45964</v>
      </c>
    </row>
    <row r="92" spans="1:45" x14ac:dyDescent="0.3">
      <c r="A92" s="7" t="s">
        <v>136</v>
      </c>
      <c r="B92" s="3" t="s">
        <v>125</v>
      </c>
      <c r="C92" s="4">
        <v>45938</v>
      </c>
      <c r="F92" s="4">
        <v>45943</v>
      </c>
      <c r="G92">
        <v>0.3</v>
      </c>
      <c r="H92" s="4">
        <v>45945</v>
      </c>
      <c r="I92">
        <v>0.36</v>
      </c>
      <c r="J92" s="4">
        <v>45947</v>
      </c>
      <c r="K92">
        <v>0.42</v>
      </c>
      <c r="L92" s="4">
        <v>45950</v>
      </c>
      <c r="M92">
        <v>0.54</v>
      </c>
      <c r="N92" s="4">
        <v>45951</v>
      </c>
      <c r="O92">
        <v>0.6</v>
      </c>
      <c r="P92" s="4">
        <v>45952</v>
      </c>
      <c r="Q92">
        <v>0.6</v>
      </c>
      <c r="R92" s="4">
        <v>45953</v>
      </c>
      <c r="S92">
        <v>0.6</v>
      </c>
      <c r="T92" s="4">
        <v>45954</v>
      </c>
      <c r="U92">
        <v>0.6</v>
      </c>
      <c r="V92" s="4">
        <v>45955</v>
      </c>
      <c r="W92" t="s">
        <v>69</v>
      </c>
      <c r="X92" s="4">
        <v>45956</v>
      </c>
      <c r="Y92" t="s">
        <v>69</v>
      </c>
      <c r="Z92" s="4">
        <v>45957</v>
      </c>
      <c r="AB92" s="4">
        <v>45958</v>
      </c>
      <c r="AC92" t="s">
        <v>69</v>
      </c>
      <c r="AD92" s="4">
        <v>45959</v>
      </c>
      <c r="AF92" s="13">
        <v>45960</v>
      </c>
      <c r="AG92" s="5" t="s">
        <v>70</v>
      </c>
      <c r="AH92" s="4">
        <v>45961</v>
      </c>
      <c r="AJ92" s="8">
        <v>45962</v>
      </c>
      <c r="AK92" s="9" t="s">
        <v>273</v>
      </c>
      <c r="AL92" s="4">
        <v>45963</v>
      </c>
      <c r="AN92" s="4">
        <v>45964</v>
      </c>
      <c r="AP92" s="4"/>
      <c r="AS92" t="s">
        <v>275</v>
      </c>
    </row>
    <row r="93" spans="1:45" x14ac:dyDescent="0.3">
      <c r="A93" s="3" t="s">
        <v>137</v>
      </c>
      <c r="B93" s="3" t="s">
        <v>125</v>
      </c>
      <c r="C93" s="4">
        <v>45938</v>
      </c>
      <c r="F93" s="4">
        <v>45943</v>
      </c>
      <c r="H93" s="4">
        <v>45945</v>
      </c>
      <c r="J93" s="4">
        <v>45947</v>
      </c>
      <c r="L93" s="4">
        <v>45950</v>
      </c>
      <c r="N93" s="4">
        <v>45951</v>
      </c>
      <c r="P93" s="4">
        <v>45952</v>
      </c>
      <c r="R93" s="4">
        <v>45953</v>
      </c>
      <c r="T93" s="4">
        <v>45954</v>
      </c>
      <c r="V93" s="4">
        <v>45955</v>
      </c>
      <c r="X93" s="4">
        <v>45956</v>
      </c>
      <c r="Z93" s="4">
        <v>45957</v>
      </c>
      <c r="AB93" s="4">
        <v>45958</v>
      </c>
      <c r="AD93" s="4">
        <v>45959</v>
      </c>
      <c r="AF93" s="4">
        <v>45960</v>
      </c>
      <c r="AH93" s="4">
        <v>45961</v>
      </c>
      <c r="AJ93" s="4">
        <v>45962</v>
      </c>
      <c r="AL93" s="4">
        <v>45963</v>
      </c>
      <c r="AN93" s="4">
        <v>45964</v>
      </c>
      <c r="AS93" t="s">
        <v>153</v>
      </c>
    </row>
    <row r="94" spans="1:45" x14ac:dyDescent="0.3">
      <c r="A94" s="7" t="s">
        <v>138</v>
      </c>
      <c r="B94" s="3" t="s">
        <v>125</v>
      </c>
      <c r="C94" s="4">
        <v>45938</v>
      </c>
      <c r="D94" s="8">
        <v>45939</v>
      </c>
      <c r="E94" s="9">
        <v>0.3</v>
      </c>
      <c r="F94" s="4">
        <v>45943</v>
      </c>
      <c r="H94" s="4">
        <v>45945</v>
      </c>
      <c r="J94" s="4">
        <v>45947</v>
      </c>
      <c r="L94" s="4">
        <v>45950</v>
      </c>
      <c r="N94" s="4">
        <v>45951</v>
      </c>
      <c r="P94" s="4">
        <v>45952</v>
      </c>
      <c r="R94" s="4">
        <v>45953</v>
      </c>
      <c r="T94" s="4">
        <v>45954</v>
      </c>
      <c r="V94" s="4">
        <v>45955</v>
      </c>
      <c r="X94" s="4">
        <v>45956</v>
      </c>
      <c r="Z94" s="4">
        <v>45957</v>
      </c>
      <c r="AB94" s="4">
        <v>45958</v>
      </c>
      <c r="AD94" s="4">
        <v>45959</v>
      </c>
      <c r="AF94" s="4">
        <v>45960</v>
      </c>
      <c r="AH94" s="4">
        <v>45961</v>
      </c>
      <c r="AJ94" s="4">
        <v>45962</v>
      </c>
      <c r="AL94" s="4">
        <v>45963</v>
      </c>
      <c r="AN94" s="4">
        <v>45964</v>
      </c>
      <c r="AS94" t="s">
        <v>161</v>
      </c>
    </row>
    <row r="95" spans="1:45" x14ac:dyDescent="0.3">
      <c r="A95" s="7" t="s">
        <v>139</v>
      </c>
      <c r="B95" s="3" t="s">
        <v>125</v>
      </c>
      <c r="C95" s="4">
        <v>45938</v>
      </c>
      <c r="D95" s="8">
        <v>45940</v>
      </c>
      <c r="E95" s="9">
        <v>0.24</v>
      </c>
      <c r="F95" s="4">
        <v>45943</v>
      </c>
      <c r="H95" s="4">
        <v>45945</v>
      </c>
      <c r="J95" s="4">
        <v>45947</v>
      </c>
      <c r="L95" s="4">
        <v>45950</v>
      </c>
      <c r="N95" s="4">
        <v>45951</v>
      </c>
      <c r="P95" s="4">
        <v>45952</v>
      </c>
      <c r="R95" s="4">
        <v>45953</v>
      </c>
      <c r="T95" s="4">
        <v>45954</v>
      </c>
      <c r="V95" s="4">
        <v>45955</v>
      </c>
      <c r="X95" s="4">
        <v>45956</v>
      </c>
      <c r="Z95" s="4">
        <v>45957</v>
      </c>
      <c r="AB95" s="4">
        <v>45958</v>
      </c>
      <c r="AD95" s="4">
        <v>45959</v>
      </c>
      <c r="AF95" s="4">
        <v>45960</v>
      </c>
      <c r="AH95" s="4">
        <v>45961</v>
      </c>
      <c r="AJ95" s="4">
        <v>45962</v>
      </c>
      <c r="AL95" s="4">
        <v>45963</v>
      </c>
      <c r="AN95" s="4">
        <v>45964</v>
      </c>
      <c r="AS95" t="s">
        <v>161</v>
      </c>
    </row>
    <row r="96" spans="1:45" x14ac:dyDescent="0.3">
      <c r="A96" s="3" t="s">
        <v>140</v>
      </c>
      <c r="B96" s="3" t="s">
        <v>125</v>
      </c>
      <c r="C96" s="4">
        <v>45938</v>
      </c>
      <c r="F96" s="4">
        <v>45943</v>
      </c>
      <c r="H96" s="4">
        <v>45945</v>
      </c>
      <c r="J96" s="4">
        <v>45947</v>
      </c>
      <c r="L96" s="4">
        <v>45950</v>
      </c>
      <c r="N96" s="4">
        <v>45951</v>
      </c>
      <c r="P96" s="4">
        <v>45952</v>
      </c>
      <c r="R96" s="4">
        <v>45953</v>
      </c>
      <c r="T96" s="4">
        <v>45954</v>
      </c>
      <c r="V96" s="4">
        <v>45955</v>
      </c>
      <c r="X96" s="4">
        <v>45956</v>
      </c>
      <c r="Z96" s="4">
        <v>45957</v>
      </c>
      <c r="AB96" s="4">
        <v>45958</v>
      </c>
      <c r="AD96" s="4">
        <v>45959</v>
      </c>
      <c r="AF96" s="4">
        <v>45960</v>
      </c>
      <c r="AH96" s="4">
        <v>45961</v>
      </c>
      <c r="AJ96" s="4">
        <v>45962</v>
      </c>
      <c r="AL96" s="4">
        <v>45963</v>
      </c>
      <c r="AN96" s="4">
        <v>45964</v>
      </c>
      <c r="AS96" t="s">
        <v>161</v>
      </c>
    </row>
    <row r="97" spans="1:59" x14ac:dyDescent="0.3">
      <c r="A97" s="3" t="s">
        <v>141</v>
      </c>
      <c r="B97" s="3" t="s">
        <v>125</v>
      </c>
      <c r="C97" s="4">
        <v>45938</v>
      </c>
      <c r="F97" s="4">
        <v>45943</v>
      </c>
      <c r="G97">
        <v>0.3</v>
      </c>
      <c r="H97" s="4">
        <v>45945</v>
      </c>
      <c r="I97">
        <v>0.3</v>
      </c>
      <c r="J97" s="4">
        <v>45947</v>
      </c>
      <c r="K97">
        <v>0.42</v>
      </c>
      <c r="L97" s="4">
        <v>45950</v>
      </c>
      <c r="M97">
        <v>0.48</v>
      </c>
      <c r="N97" s="4">
        <v>45951</v>
      </c>
      <c r="P97" s="4">
        <v>45952</v>
      </c>
      <c r="R97" s="4">
        <v>45953</v>
      </c>
      <c r="T97" s="4">
        <v>45954</v>
      </c>
      <c r="V97" s="4">
        <v>45955</v>
      </c>
      <c r="X97" s="4">
        <v>45956</v>
      </c>
      <c r="Z97" s="4">
        <v>45957</v>
      </c>
      <c r="AB97" s="4">
        <v>45958</v>
      </c>
      <c r="AD97" s="4">
        <v>45959</v>
      </c>
      <c r="AF97" s="4">
        <v>45960</v>
      </c>
      <c r="AH97" s="4">
        <v>45961</v>
      </c>
      <c r="AJ97" s="4">
        <v>45962</v>
      </c>
      <c r="AL97" s="4">
        <v>45963</v>
      </c>
      <c r="AN97" s="4">
        <v>45964</v>
      </c>
      <c r="AS97" t="s">
        <v>161</v>
      </c>
    </row>
    <row r="98" spans="1:59" x14ac:dyDescent="0.3">
      <c r="A98" s="7" t="s">
        <v>142</v>
      </c>
      <c r="B98" s="3" t="s">
        <v>125</v>
      </c>
      <c r="C98" s="4">
        <v>45938</v>
      </c>
      <c r="F98" s="8">
        <v>45943</v>
      </c>
      <c r="G98" s="9" t="s">
        <v>151</v>
      </c>
      <c r="H98" s="4">
        <v>45945</v>
      </c>
      <c r="J98" s="4">
        <v>45947</v>
      </c>
      <c r="L98" s="4">
        <v>45950</v>
      </c>
      <c r="N98" s="4">
        <v>45951</v>
      </c>
      <c r="P98" s="4">
        <v>45952</v>
      </c>
      <c r="R98" s="4">
        <v>45953</v>
      </c>
      <c r="T98" s="4">
        <v>45954</v>
      </c>
      <c r="V98" s="4">
        <v>45955</v>
      </c>
      <c r="X98" s="4">
        <v>45956</v>
      </c>
      <c r="Z98" s="4">
        <v>45957</v>
      </c>
      <c r="AB98" s="4">
        <v>45958</v>
      </c>
      <c r="AD98" s="4">
        <v>45959</v>
      </c>
      <c r="AF98" s="4">
        <v>45960</v>
      </c>
      <c r="AH98" s="4">
        <v>45961</v>
      </c>
      <c r="AJ98" s="4">
        <v>45962</v>
      </c>
      <c r="AL98" s="4">
        <v>45963</v>
      </c>
      <c r="AN98" s="4">
        <v>45964</v>
      </c>
      <c r="AS98" t="s">
        <v>157</v>
      </c>
    </row>
    <row r="99" spans="1:59" x14ac:dyDescent="0.3">
      <c r="A99" s="3" t="s">
        <v>143</v>
      </c>
      <c r="B99" s="3" t="s">
        <v>125</v>
      </c>
      <c r="C99" s="4">
        <v>45938</v>
      </c>
      <c r="F99" s="4">
        <v>45943</v>
      </c>
      <c r="G99">
        <v>0.3</v>
      </c>
      <c r="H99" s="4">
        <v>45945</v>
      </c>
      <c r="J99" s="4">
        <v>45947</v>
      </c>
      <c r="L99" s="4">
        <v>45950</v>
      </c>
      <c r="N99" s="4">
        <v>45951</v>
      </c>
      <c r="P99" s="4">
        <v>45952</v>
      </c>
      <c r="R99" s="4">
        <v>45953</v>
      </c>
      <c r="T99" s="4">
        <v>45954</v>
      </c>
      <c r="V99" s="4">
        <v>45955</v>
      </c>
      <c r="X99" s="4">
        <v>45956</v>
      </c>
      <c r="Z99" s="4">
        <v>45957</v>
      </c>
      <c r="AB99" s="4">
        <v>45958</v>
      </c>
      <c r="AD99" s="4">
        <v>45959</v>
      </c>
      <c r="AF99" s="4">
        <v>45960</v>
      </c>
      <c r="AH99" s="4">
        <v>45961</v>
      </c>
      <c r="AJ99" s="4">
        <v>45962</v>
      </c>
      <c r="AL99" s="4">
        <v>45963</v>
      </c>
      <c r="AN99" s="4">
        <v>45964</v>
      </c>
      <c r="AS99" t="s">
        <v>153</v>
      </c>
    </row>
    <row r="100" spans="1:59" x14ac:dyDescent="0.3">
      <c r="A100" s="7" t="s">
        <v>144</v>
      </c>
      <c r="B100" s="3" t="s">
        <v>125</v>
      </c>
      <c r="C100" s="12">
        <v>45938</v>
      </c>
      <c r="D100" s="8">
        <v>45939</v>
      </c>
      <c r="E100" s="9" t="s">
        <v>151</v>
      </c>
      <c r="F100" s="4">
        <v>45943</v>
      </c>
      <c r="H100" s="4">
        <v>45945</v>
      </c>
      <c r="J100" s="4">
        <v>45947</v>
      </c>
      <c r="L100" s="4">
        <v>45950</v>
      </c>
      <c r="N100" s="4">
        <v>45951</v>
      </c>
      <c r="P100" s="4">
        <v>45952</v>
      </c>
      <c r="R100" s="4">
        <v>45953</v>
      </c>
      <c r="T100" s="4">
        <v>45954</v>
      </c>
      <c r="V100" s="4">
        <v>45955</v>
      </c>
      <c r="X100" s="4">
        <v>45956</v>
      </c>
      <c r="Z100" s="4">
        <v>45957</v>
      </c>
      <c r="AB100" s="4">
        <v>45958</v>
      </c>
      <c r="AD100" s="4">
        <v>45959</v>
      </c>
      <c r="AF100" s="4">
        <v>45960</v>
      </c>
      <c r="AH100" s="4">
        <v>45961</v>
      </c>
      <c r="AJ100" s="4">
        <v>45962</v>
      </c>
      <c r="AL100" s="4">
        <v>45963</v>
      </c>
      <c r="AN100" s="4">
        <v>45964</v>
      </c>
      <c r="AS100" t="s">
        <v>161</v>
      </c>
    </row>
    <row r="101" spans="1:59" x14ac:dyDescent="0.3">
      <c r="A101" s="3" t="s">
        <v>145</v>
      </c>
      <c r="B101" s="3" t="s">
        <v>125</v>
      </c>
      <c r="C101" s="4">
        <v>45938</v>
      </c>
      <c r="F101" s="4">
        <v>45943</v>
      </c>
      <c r="H101" s="4">
        <v>45945</v>
      </c>
      <c r="J101" s="4">
        <v>45947</v>
      </c>
      <c r="L101" s="4">
        <v>45950</v>
      </c>
      <c r="N101" s="4">
        <v>45951</v>
      </c>
      <c r="P101" s="4">
        <v>45952</v>
      </c>
      <c r="R101" s="4">
        <v>45953</v>
      </c>
      <c r="T101" s="4">
        <v>45954</v>
      </c>
      <c r="V101" s="4">
        <v>45955</v>
      </c>
      <c r="X101" s="4">
        <v>45956</v>
      </c>
      <c r="Z101" s="4">
        <v>45957</v>
      </c>
      <c r="AB101" s="4">
        <v>45958</v>
      </c>
      <c r="AD101" s="4">
        <v>45959</v>
      </c>
      <c r="AF101" s="4">
        <v>45960</v>
      </c>
      <c r="AH101" s="4">
        <v>45961</v>
      </c>
      <c r="AJ101" s="4">
        <v>45962</v>
      </c>
      <c r="AL101" s="4">
        <v>45963</v>
      </c>
      <c r="AN101" s="4">
        <v>45964</v>
      </c>
      <c r="AS101" t="s">
        <v>155</v>
      </c>
    </row>
    <row r="102" spans="1:59" x14ac:dyDescent="0.3">
      <c r="A102" s="7" t="s">
        <v>146</v>
      </c>
      <c r="B102" s="3" t="s">
        <v>125</v>
      </c>
      <c r="C102" s="4">
        <v>45938</v>
      </c>
      <c r="D102" s="8">
        <v>45940</v>
      </c>
      <c r="E102" s="9" t="s">
        <v>162</v>
      </c>
      <c r="F102" s="4">
        <v>45943</v>
      </c>
      <c r="H102" s="4">
        <v>45945</v>
      </c>
      <c r="J102" s="4">
        <v>45947</v>
      </c>
      <c r="L102" s="4">
        <v>45950</v>
      </c>
      <c r="N102" s="4">
        <v>45951</v>
      </c>
      <c r="P102" s="4">
        <v>45952</v>
      </c>
      <c r="R102" s="4">
        <v>45953</v>
      </c>
      <c r="T102" s="4">
        <v>45954</v>
      </c>
      <c r="V102" s="4">
        <v>45955</v>
      </c>
      <c r="X102" s="4">
        <v>45956</v>
      </c>
      <c r="Z102" s="4">
        <v>45957</v>
      </c>
      <c r="AB102" s="4">
        <v>45958</v>
      </c>
      <c r="AD102" s="4">
        <v>45959</v>
      </c>
      <c r="AF102" s="4">
        <v>45960</v>
      </c>
      <c r="AH102" s="4">
        <v>45961</v>
      </c>
      <c r="AJ102" s="4">
        <v>45962</v>
      </c>
      <c r="AL102" s="4">
        <v>45963</v>
      </c>
      <c r="AN102" s="4">
        <v>45964</v>
      </c>
      <c r="AS102" t="s">
        <v>153</v>
      </c>
    </row>
    <row r="103" spans="1:59" x14ac:dyDescent="0.3">
      <c r="A103" s="3" t="s">
        <v>147</v>
      </c>
      <c r="B103" s="3" t="s">
        <v>125</v>
      </c>
      <c r="C103" s="4">
        <v>45938</v>
      </c>
      <c r="F103" s="4">
        <v>45943</v>
      </c>
      <c r="H103" s="4">
        <v>45945</v>
      </c>
      <c r="J103" s="4">
        <v>45947</v>
      </c>
      <c r="L103" s="4">
        <v>45950</v>
      </c>
      <c r="N103" s="4">
        <v>45951</v>
      </c>
      <c r="P103" s="4">
        <v>45952</v>
      </c>
      <c r="R103" s="4">
        <v>45953</v>
      </c>
      <c r="T103" s="4">
        <v>45954</v>
      </c>
      <c r="V103" s="4">
        <v>45955</v>
      </c>
      <c r="X103" s="4">
        <v>45956</v>
      </c>
      <c r="Z103" s="4">
        <v>45957</v>
      </c>
      <c r="AB103" s="4">
        <v>45958</v>
      </c>
      <c r="AD103" s="4">
        <v>45959</v>
      </c>
      <c r="AF103" s="4">
        <v>45960</v>
      </c>
      <c r="AH103" s="4">
        <v>45961</v>
      </c>
      <c r="AJ103" s="4">
        <v>45962</v>
      </c>
      <c r="AL103" s="4">
        <v>45963</v>
      </c>
      <c r="AN103" s="4">
        <v>45964</v>
      </c>
      <c r="AS103" t="s">
        <v>157</v>
      </c>
    </row>
    <row r="104" spans="1:59" x14ac:dyDescent="0.3">
      <c r="A104" s="7" t="s">
        <v>148</v>
      </c>
      <c r="B104" s="3" t="s">
        <v>125</v>
      </c>
      <c r="C104" s="4">
        <v>45938</v>
      </c>
      <c r="F104" s="4">
        <v>45943</v>
      </c>
      <c r="G104">
        <v>0.3</v>
      </c>
      <c r="H104" s="8">
        <v>45945</v>
      </c>
      <c r="I104" s="9">
        <v>0.3</v>
      </c>
      <c r="J104" s="4">
        <v>45947</v>
      </c>
      <c r="L104" s="4">
        <v>45950</v>
      </c>
      <c r="N104" s="4">
        <v>45951</v>
      </c>
      <c r="P104" s="4">
        <v>45952</v>
      </c>
      <c r="R104" s="4">
        <v>45953</v>
      </c>
      <c r="T104" s="4">
        <v>45954</v>
      </c>
      <c r="V104" s="4">
        <v>45955</v>
      </c>
      <c r="X104" s="4">
        <v>45956</v>
      </c>
      <c r="Z104" s="4">
        <v>45957</v>
      </c>
      <c r="AB104" s="4">
        <v>45958</v>
      </c>
      <c r="AD104" s="4">
        <v>45959</v>
      </c>
      <c r="AF104" s="4">
        <v>45960</v>
      </c>
      <c r="AH104" s="4">
        <v>45961</v>
      </c>
      <c r="AJ104" s="4">
        <v>45962</v>
      </c>
      <c r="AL104" s="4">
        <v>45963</v>
      </c>
      <c r="AN104" s="4">
        <v>45964</v>
      </c>
      <c r="AS104" t="s">
        <v>153</v>
      </c>
    </row>
    <row r="105" spans="1:59" x14ac:dyDescent="0.3">
      <c r="A105" s="3" t="s">
        <v>149</v>
      </c>
      <c r="B105" s="3" t="s">
        <v>125</v>
      </c>
      <c r="C105" s="4">
        <v>45938</v>
      </c>
      <c r="F105" s="4">
        <v>45943</v>
      </c>
      <c r="G105">
        <v>0.42</v>
      </c>
      <c r="H105" s="4">
        <v>45945</v>
      </c>
      <c r="I105">
        <v>0.42</v>
      </c>
      <c r="J105" s="4">
        <v>45947</v>
      </c>
      <c r="L105" s="4">
        <v>45950</v>
      </c>
      <c r="N105" s="4">
        <v>45951</v>
      </c>
      <c r="P105" s="4">
        <v>45952</v>
      </c>
      <c r="R105" s="4">
        <v>45953</v>
      </c>
      <c r="T105" s="4">
        <v>45954</v>
      </c>
      <c r="V105" s="4">
        <v>45955</v>
      </c>
      <c r="X105" s="4">
        <v>45956</v>
      </c>
      <c r="Z105" s="4">
        <v>45957</v>
      </c>
      <c r="AB105" s="4">
        <v>45958</v>
      </c>
      <c r="AD105" s="4">
        <v>45959</v>
      </c>
      <c r="AF105" s="4">
        <v>45960</v>
      </c>
      <c r="AH105" s="4">
        <v>45961</v>
      </c>
      <c r="AJ105" s="4">
        <v>45962</v>
      </c>
      <c r="AL105" s="4">
        <v>45963</v>
      </c>
      <c r="AN105" s="4">
        <v>45964</v>
      </c>
    </row>
    <row r="107" spans="1:59" x14ac:dyDescent="0.3">
      <c r="A107" t="s">
        <v>0</v>
      </c>
      <c r="B107" t="s">
        <v>150</v>
      </c>
      <c r="C107" t="s">
        <v>13</v>
      </c>
      <c r="D107" t="s">
        <v>218</v>
      </c>
      <c r="E107" t="s">
        <v>219</v>
      </c>
      <c r="F107" t="s">
        <v>4</v>
      </c>
      <c r="G107" t="s">
        <v>163</v>
      </c>
      <c r="H107" t="s">
        <v>5</v>
      </c>
      <c r="I107" t="s">
        <v>164</v>
      </c>
      <c r="J107" t="s">
        <v>6</v>
      </c>
      <c r="K107" t="s">
        <v>166</v>
      </c>
      <c r="L107" t="s">
        <v>7</v>
      </c>
      <c r="M107" t="s">
        <v>168</v>
      </c>
      <c r="N107" t="s">
        <v>8</v>
      </c>
      <c r="O107" t="s">
        <v>170</v>
      </c>
      <c r="P107" t="s">
        <v>9</v>
      </c>
      <c r="Q107" t="s">
        <v>171</v>
      </c>
      <c r="R107" t="s">
        <v>9</v>
      </c>
      <c r="S107" t="s">
        <v>171</v>
      </c>
      <c r="T107" t="s">
        <v>10</v>
      </c>
      <c r="U107" t="s">
        <v>173</v>
      </c>
      <c r="V107" t="s">
        <v>11</v>
      </c>
      <c r="W107" t="s">
        <v>174</v>
      </c>
      <c r="X107" t="s">
        <v>12</v>
      </c>
      <c r="Y107" t="s">
        <v>175</v>
      </c>
      <c r="Z107" t="s">
        <v>73</v>
      </c>
      <c r="AA107" t="s">
        <v>176</v>
      </c>
      <c r="AB107" t="s">
        <v>179</v>
      </c>
      <c r="AC107" t="s">
        <v>180</v>
      </c>
      <c r="AD107" t="s">
        <v>181</v>
      </c>
      <c r="AE107" t="s">
        <v>182</v>
      </c>
      <c r="AF107" t="s">
        <v>183</v>
      </c>
      <c r="AG107" t="s">
        <v>184</v>
      </c>
      <c r="AH107" t="s">
        <v>185</v>
      </c>
      <c r="AI107" t="s">
        <v>186</v>
      </c>
      <c r="AJ107" t="s">
        <v>211</v>
      </c>
      <c r="AK107" t="s">
        <v>212</v>
      </c>
      <c r="AL107" t="s">
        <v>213</v>
      </c>
      <c r="AM107" t="s">
        <v>214</v>
      </c>
      <c r="AN107" t="s">
        <v>215</v>
      </c>
      <c r="AO107" t="s">
        <v>216</v>
      </c>
      <c r="AP107" t="s">
        <v>217</v>
      </c>
      <c r="AQ107" t="s">
        <v>220</v>
      </c>
      <c r="AR107" t="s">
        <v>221</v>
      </c>
      <c r="AS107" t="s">
        <v>222</v>
      </c>
      <c r="AT107" t="s">
        <v>284</v>
      </c>
      <c r="AU107" t="s">
        <v>285</v>
      </c>
      <c r="AV107" t="s">
        <v>286</v>
      </c>
      <c r="AW107" t="s">
        <v>287</v>
      </c>
      <c r="AX107" t="s">
        <v>288</v>
      </c>
      <c r="AY107" t="s">
        <v>289</v>
      </c>
      <c r="AZ107" t="s">
        <v>290</v>
      </c>
      <c r="BA107" t="s">
        <v>291</v>
      </c>
      <c r="BB107" t="s">
        <v>292</v>
      </c>
      <c r="BC107" t="s">
        <v>293</v>
      </c>
      <c r="BD107" t="s">
        <v>294</v>
      </c>
      <c r="BE107" t="s">
        <v>296</v>
      </c>
      <c r="BF107" t="s">
        <v>297</v>
      </c>
      <c r="BG107" t="s">
        <v>298</v>
      </c>
    </row>
    <row r="108" spans="1:59" x14ac:dyDescent="0.3">
      <c r="A108" s="6" t="s">
        <v>187</v>
      </c>
      <c r="B108" s="3" t="s">
        <v>14</v>
      </c>
      <c r="C108" s="4">
        <v>45973</v>
      </c>
      <c r="D108" s="4">
        <v>45975</v>
      </c>
      <c r="E108" t="s">
        <v>278</v>
      </c>
      <c r="F108" s="4">
        <v>45978</v>
      </c>
      <c r="G108">
        <v>0.3</v>
      </c>
      <c r="H108" s="4">
        <v>45980</v>
      </c>
      <c r="I108">
        <v>0.42</v>
      </c>
      <c r="J108" s="4">
        <v>45982</v>
      </c>
      <c r="K108">
        <v>0.42</v>
      </c>
      <c r="L108" s="4">
        <v>45985</v>
      </c>
      <c r="M108">
        <v>0.66</v>
      </c>
      <c r="N108" s="4">
        <v>45987</v>
      </c>
      <c r="O108">
        <v>0.66</v>
      </c>
      <c r="P108" s="4">
        <v>45989</v>
      </c>
      <c r="Q108" t="s">
        <v>69</v>
      </c>
      <c r="R108" s="13">
        <v>45991</v>
      </c>
      <c r="S108" s="5" t="s">
        <v>70</v>
      </c>
      <c r="T108" s="4">
        <v>45992</v>
      </c>
      <c r="V108" s="4">
        <v>45993</v>
      </c>
      <c r="X108" s="4">
        <v>45994</v>
      </c>
      <c r="Z108" s="4">
        <v>45995</v>
      </c>
      <c r="AB108" s="4">
        <v>45996</v>
      </c>
      <c r="AD108" s="4">
        <v>45997</v>
      </c>
      <c r="AF108" s="13">
        <v>45998</v>
      </c>
      <c r="AG108" s="5" t="s">
        <v>75</v>
      </c>
      <c r="AH108" s="4">
        <v>45999</v>
      </c>
      <c r="AJ108" s="4">
        <v>46000</v>
      </c>
      <c r="AL108" s="4">
        <v>46001</v>
      </c>
      <c r="AN108" s="4">
        <v>46002</v>
      </c>
      <c r="AP108" s="4">
        <v>46003</v>
      </c>
      <c r="AR108" s="4">
        <v>46006</v>
      </c>
      <c r="AT108" s="4">
        <v>46007</v>
      </c>
      <c r="AV108" s="4">
        <v>46008</v>
      </c>
      <c r="AX108" s="4">
        <v>46009</v>
      </c>
      <c r="AZ108" s="4">
        <v>46010</v>
      </c>
      <c r="BB108" s="4">
        <v>46011</v>
      </c>
      <c r="BD108" s="4">
        <v>46012</v>
      </c>
    </row>
    <row r="109" spans="1:59" x14ac:dyDescent="0.3">
      <c r="A109" s="6" t="s">
        <v>188</v>
      </c>
      <c r="B109" s="3" t="s">
        <v>14</v>
      </c>
      <c r="C109" s="4">
        <v>45973</v>
      </c>
      <c r="D109" s="4">
        <v>45975</v>
      </c>
      <c r="E109" t="s">
        <v>278</v>
      </c>
      <c r="F109" s="4">
        <v>45978</v>
      </c>
      <c r="G109">
        <v>0.24</v>
      </c>
      <c r="H109" s="4">
        <v>45980</v>
      </c>
      <c r="I109">
        <v>0.42</v>
      </c>
      <c r="J109" s="4">
        <v>45982</v>
      </c>
      <c r="K109">
        <v>0.42</v>
      </c>
      <c r="L109" s="4">
        <v>45985</v>
      </c>
      <c r="M109">
        <v>0.72</v>
      </c>
      <c r="N109" s="4">
        <v>45987</v>
      </c>
      <c r="O109">
        <v>0.72</v>
      </c>
      <c r="P109" s="4">
        <v>45989</v>
      </c>
      <c r="Q109">
        <v>0.72</v>
      </c>
      <c r="R109" s="4">
        <v>45991</v>
      </c>
      <c r="T109" s="4">
        <v>45992</v>
      </c>
      <c r="U109" t="s">
        <v>69</v>
      </c>
      <c r="V109" s="4">
        <v>45993</v>
      </c>
      <c r="X109" s="13">
        <v>45994</v>
      </c>
      <c r="Y109" s="5" t="s">
        <v>70</v>
      </c>
      <c r="Z109" s="4">
        <v>45995</v>
      </c>
      <c r="AB109" s="4">
        <v>45996</v>
      </c>
      <c r="AD109" s="4">
        <v>45997</v>
      </c>
      <c r="AF109" s="4">
        <v>45998</v>
      </c>
      <c r="AH109" s="13">
        <v>45999</v>
      </c>
      <c r="AI109" s="5" t="s">
        <v>75</v>
      </c>
      <c r="AJ109" s="4">
        <v>46000</v>
      </c>
      <c r="AL109" s="4">
        <v>46001</v>
      </c>
      <c r="AN109" s="4">
        <v>46002</v>
      </c>
      <c r="AP109" s="4">
        <v>46003</v>
      </c>
      <c r="AR109" s="4">
        <v>46006</v>
      </c>
      <c r="AT109" s="4">
        <v>46007</v>
      </c>
      <c r="AV109" s="4">
        <v>46008</v>
      </c>
      <c r="AX109" s="4">
        <v>46009</v>
      </c>
      <c r="AZ109" s="4">
        <v>46010</v>
      </c>
      <c r="BB109" s="4">
        <v>46011</v>
      </c>
      <c r="BD109" s="4">
        <v>46012</v>
      </c>
    </row>
    <row r="110" spans="1:59" x14ac:dyDescent="0.3">
      <c r="A110" s="7" t="s">
        <v>189</v>
      </c>
      <c r="B110" s="3" t="s">
        <v>14</v>
      </c>
      <c r="C110" s="4">
        <v>45973</v>
      </c>
      <c r="D110" s="4">
        <v>45975</v>
      </c>
      <c r="E110" t="s">
        <v>169</v>
      </c>
      <c r="F110" s="4">
        <v>45978</v>
      </c>
      <c r="H110" s="8">
        <v>45980</v>
      </c>
      <c r="I110" s="9">
        <v>0.18</v>
      </c>
      <c r="J110" s="4">
        <v>45982</v>
      </c>
      <c r="L110" s="4">
        <v>45985</v>
      </c>
      <c r="N110" s="4">
        <v>45987</v>
      </c>
      <c r="P110" s="4">
        <v>45989</v>
      </c>
      <c r="R110" s="4">
        <v>45991</v>
      </c>
      <c r="T110" s="4">
        <v>45992</v>
      </c>
      <c r="V110" s="4">
        <v>45993</v>
      </c>
      <c r="X110" s="4">
        <v>45994</v>
      </c>
      <c r="Z110" s="4">
        <v>45995</v>
      </c>
      <c r="AB110" s="4">
        <v>45996</v>
      </c>
      <c r="AD110" s="4">
        <v>45997</v>
      </c>
      <c r="AF110" s="4">
        <v>45998</v>
      </c>
      <c r="AH110" s="4">
        <v>45999</v>
      </c>
      <c r="AJ110" s="4">
        <v>46000</v>
      </c>
      <c r="AL110" s="4">
        <v>46001</v>
      </c>
      <c r="AN110" s="4">
        <v>46002</v>
      </c>
      <c r="AP110" s="4">
        <v>46003</v>
      </c>
      <c r="AR110" s="4">
        <v>46006</v>
      </c>
      <c r="AT110" s="4">
        <v>46007</v>
      </c>
      <c r="AV110" s="4">
        <v>46008</v>
      </c>
      <c r="AX110" s="4">
        <v>46009</v>
      </c>
      <c r="AZ110" s="4">
        <v>46010</v>
      </c>
      <c r="BB110" s="4">
        <v>46011</v>
      </c>
      <c r="BD110" s="4">
        <v>46012</v>
      </c>
    </row>
    <row r="111" spans="1:59" x14ac:dyDescent="0.3">
      <c r="A111" s="6" t="s">
        <v>190</v>
      </c>
      <c r="B111" s="3" t="s">
        <v>14</v>
      </c>
      <c r="C111" s="4">
        <v>45973</v>
      </c>
      <c r="D111" s="4">
        <v>45975</v>
      </c>
      <c r="E111" t="s">
        <v>278</v>
      </c>
      <c r="F111" s="4">
        <v>45978</v>
      </c>
      <c r="G111">
        <v>0.18</v>
      </c>
      <c r="H111" s="4">
        <v>45980</v>
      </c>
      <c r="I111">
        <v>0.42</v>
      </c>
      <c r="J111" s="4">
        <v>45982</v>
      </c>
      <c r="K111">
        <v>0.42</v>
      </c>
      <c r="L111" s="4">
        <v>45985</v>
      </c>
      <c r="M111">
        <v>0.66</v>
      </c>
      <c r="N111" s="4">
        <v>45987</v>
      </c>
      <c r="O111">
        <v>0.66</v>
      </c>
      <c r="P111" s="4">
        <v>45989</v>
      </c>
      <c r="Q111" t="s">
        <v>69</v>
      </c>
      <c r="R111" s="13">
        <v>45991</v>
      </c>
      <c r="S111" s="5" t="s">
        <v>70</v>
      </c>
      <c r="T111" s="4">
        <v>45992</v>
      </c>
      <c r="V111" s="4">
        <v>45993</v>
      </c>
      <c r="X111" s="4">
        <v>45994</v>
      </c>
      <c r="Z111" s="4">
        <v>45995</v>
      </c>
      <c r="AB111" s="13">
        <v>45996</v>
      </c>
      <c r="AC111" s="5" t="s">
        <v>75</v>
      </c>
      <c r="AD111" s="4">
        <v>45997</v>
      </c>
      <c r="AF111" s="4">
        <v>45998</v>
      </c>
      <c r="AH111" s="4">
        <v>45999</v>
      </c>
      <c r="AJ111" s="4">
        <v>46000</v>
      </c>
      <c r="AL111" s="4">
        <v>46001</v>
      </c>
      <c r="AN111" s="4">
        <v>46002</v>
      </c>
      <c r="AP111" s="4">
        <v>46003</v>
      </c>
      <c r="AR111" s="4">
        <v>46006</v>
      </c>
      <c r="AT111" s="4">
        <v>46007</v>
      </c>
      <c r="AV111" s="4">
        <v>46008</v>
      </c>
      <c r="AX111" s="4">
        <v>46009</v>
      </c>
      <c r="AZ111" s="4">
        <v>46010</v>
      </c>
      <c r="BB111" s="4">
        <v>46011</v>
      </c>
      <c r="BD111" s="4">
        <v>46012</v>
      </c>
    </row>
    <row r="112" spans="1:59" x14ac:dyDescent="0.3">
      <c r="A112" s="7" t="s">
        <v>191</v>
      </c>
      <c r="B112" s="3" t="s">
        <v>14</v>
      </c>
      <c r="C112" s="4">
        <v>45973</v>
      </c>
      <c r="D112" s="4">
        <v>45975</v>
      </c>
      <c r="E112" t="s">
        <v>169</v>
      </c>
      <c r="F112" s="4">
        <v>45978</v>
      </c>
      <c r="H112" s="8">
        <v>45980</v>
      </c>
      <c r="I112" s="9">
        <v>0.24</v>
      </c>
      <c r="J112" s="4">
        <v>45982</v>
      </c>
      <c r="L112" s="4">
        <v>45985</v>
      </c>
      <c r="N112" s="4">
        <v>45987</v>
      </c>
      <c r="P112" s="4">
        <v>45989</v>
      </c>
      <c r="R112" s="4">
        <v>45991</v>
      </c>
      <c r="T112" s="4">
        <v>45992</v>
      </c>
      <c r="V112" s="4">
        <v>45993</v>
      </c>
      <c r="X112" s="4">
        <v>45994</v>
      </c>
      <c r="Z112" s="4">
        <v>45995</v>
      </c>
      <c r="AB112" s="4">
        <v>45996</v>
      </c>
      <c r="AD112" s="4">
        <v>45997</v>
      </c>
      <c r="AF112" s="4">
        <v>45998</v>
      </c>
      <c r="AH112" s="4">
        <v>45999</v>
      </c>
      <c r="AJ112" s="4">
        <v>46000</v>
      </c>
      <c r="AL112" s="4">
        <v>46001</v>
      </c>
      <c r="AN112" s="4">
        <v>46002</v>
      </c>
      <c r="AP112" s="4">
        <v>46003</v>
      </c>
      <c r="AR112" s="4">
        <v>46006</v>
      </c>
      <c r="AT112" s="4">
        <v>46007</v>
      </c>
      <c r="AV112" s="4">
        <v>46008</v>
      </c>
      <c r="AX112" s="4">
        <v>46009</v>
      </c>
      <c r="AZ112" s="4">
        <v>46010</v>
      </c>
      <c r="BB112" s="4">
        <v>46011</v>
      </c>
      <c r="BD112" s="4">
        <v>46012</v>
      </c>
    </row>
    <row r="113" spans="1:60" x14ac:dyDescent="0.3">
      <c r="A113" s="6" t="s">
        <v>192</v>
      </c>
      <c r="B113" s="3" t="s">
        <v>14</v>
      </c>
      <c r="C113" s="4">
        <v>45973</v>
      </c>
      <c r="D113" s="4">
        <v>45975</v>
      </c>
      <c r="E113" t="s">
        <v>278</v>
      </c>
      <c r="F113" s="4">
        <v>45978</v>
      </c>
      <c r="G113">
        <v>0.24</v>
      </c>
      <c r="H113" s="4">
        <v>45980</v>
      </c>
      <c r="I113">
        <v>0.24</v>
      </c>
      <c r="J113" s="4">
        <v>45982</v>
      </c>
      <c r="K113">
        <v>0.42</v>
      </c>
      <c r="L113" s="4">
        <v>45985</v>
      </c>
      <c r="M113">
        <v>0.66</v>
      </c>
      <c r="N113" s="4">
        <v>45987</v>
      </c>
      <c r="O113" t="s">
        <v>69</v>
      </c>
      <c r="P113" s="4">
        <v>45989</v>
      </c>
      <c r="Q113" t="s">
        <v>69</v>
      </c>
      <c r="R113" s="4">
        <v>45991</v>
      </c>
      <c r="T113" s="4">
        <v>45992</v>
      </c>
      <c r="U113" t="s">
        <v>69</v>
      </c>
      <c r="V113" s="4">
        <v>45993</v>
      </c>
      <c r="X113" s="13">
        <v>45994</v>
      </c>
      <c r="Y113" s="5" t="s">
        <v>70</v>
      </c>
      <c r="Z113" s="4">
        <v>45995</v>
      </c>
      <c r="AB113" s="4">
        <v>45996</v>
      </c>
      <c r="AD113" s="4">
        <v>45997</v>
      </c>
      <c r="AF113" s="13">
        <v>45998</v>
      </c>
      <c r="AG113" s="5" t="s">
        <v>75</v>
      </c>
      <c r="AH113" s="4">
        <v>45999</v>
      </c>
      <c r="AJ113" s="4">
        <v>46000</v>
      </c>
      <c r="AL113" s="4">
        <v>46001</v>
      </c>
      <c r="AN113" s="4">
        <v>46002</v>
      </c>
      <c r="AP113" s="4">
        <v>46003</v>
      </c>
      <c r="AR113" s="4">
        <v>46006</v>
      </c>
      <c r="AT113" s="4">
        <v>46007</v>
      </c>
      <c r="AV113" s="4">
        <v>46008</v>
      </c>
      <c r="AX113" s="4">
        <v>46009</v>
      </c>
      <c r="AZ113" s="4">
        <v>46010</v>
      </c>
      <c r="BB113" s="4">
        <v>46011</v>
      </c>
      <c r="BD113" s="4">
        <v>46012</v>
      </c>
    </row>
    <row r="114" spans="1:60" x14ac:dyDescent="0.3">
      <c r="A114" s="6" t="s">
        <v>193</v>
      </c>
      <c r="B114" s="3" t="s">
        <v>14</v>
      </c>
      <c r="C114" s="4">
        <v>45973</v>
      </c>
      <c r="D114" s="4">
        <v>45975</v>
      </c>
      <c r="E114" t="s">
        <v>278</v>
      </c>
      <c r="F114" s="4">
        <v>45978</v>
      </c>
      <c r="G114">
        <v>0.3</v>
      </c>
      <c r="H114" s="4">
        <v>45980</v>
      </c>
      <c r="I114">
        <v>0.42</v>
      </c>
      <c r="J114" s="4">
        <v>45982</v>
      </c>
      <c r="K114">
        <v>0.42</v>
      </c>
      <c r="L114" s="4">
        <v>45985</v>
      </c>
      <c r="M114">
        <v>0.66</v>
      </c>
      <c r="N114" s="4">
        <v>45987</v>
      </c>
      <c r="O114" t="s">
        <v>69</v>
      </c>
      <c r="P114" s="4">
        <v>45989</v>
      </c>
      <c r="Q114" t="s">
        <v>69</v>
      </c>
      <c r="R114" s="13">
        <v>45991</v>
      </c>
      <c r="S114" s="5" t="s">
        <v>70</v>
      </c>
      <c r="T114" s="4">
        <v>45992</v>
      </c>
      <c r="V114" s="4">
        <v>45993</v>
      </c>
      <c r="X114" s="4">
        <v>45994</v>
      </c>
      <c r="Z114" s="13">
        <v>45995</v>
      </c>
      <c r="AA114" s="5" t="s">
        <v>177</v>
      </c>
      <c r="AB114" s="4">
        <v>45996</v>
      </c>
      <c r="AD114" s="4">
        <v>45997</v>
      </c>
      <c r="AF114" s="4">
        <v>45998</v>
      </c>
      <c r="AH114" s="4">
        <v>45999</v>
      </c>
      <c r="AJ114" s="4">
        <v>46000</v>
      </c>
      <c r="AL114" s="4">
        <v>46001</v>
      </c>
      <c r="AN114" s="4">
        <v>46002</v>
      </c>
      <c r="AP114" s="4">
        <v>46003</v>
      </c>
      <c r="AR114" s="4">
        <v>46006</v>
      </c>
      <c r="AT114" s="4">
        <v>46007</v>
      </c>
      <c r="AV114" s="4">
        <v>46008</v>
      </c>
      <c r="AX114" s="4">
        <v>46009</v>
      </c>
      <c r="AZ114" s="4">
        <v>46010</v>
      </c>
      <c r="BB114" s="4">
        <v>46011</v>
      </c>
      <c r="BD114" s="4">
        <v>46012</v>
      </c>
    </row>
    <row r="115" spans="1:60" x14ac:dyDescent="0.3">
      <c r="A115" s="6" t="s">
        <v>194</v>
      </c>
      <c r="B115" s="3" t="s">
        <v>14</v>
      </c>
      <c r="C115" s="4">
        <v>45973</v>
      </c>
      <c r="D115" s="4">
        <v>45975</v>
      </c>
      <c r="E115" t="s">
        <v>278</v>
      </c>
      <c r="F115" s="4">
        <v>45978</v>
      </c>
      <c r="G115">
        <v>0.24</v>
      </c>
      <c r="H115" s="4">
        <v>45980</v>
      </c>
      <c r="I115">
        <v>0.42</v>
      </c>
      <c r="J115" s="4">
        <v>45982</v>
      </c>
      <c r="L115" s="4">
        <v>45985</v>
      </c>
      <c r="M115">
        <v>0.66</v>
      </c>
      <c r="N115" s="4">
        <v>45987</v>
      </c>
      <c r="O115">
        <v>0.72</v>
      </c>
      <c r="P115" s="4">
        <v>45989</v>
      </c>
      <c r="Q115" t="s">
        <v>69</v>
      </c>
      <c r="R115" s="4">
        <v>45991</v>
      </c>
      <c r="T115" s="13">
        <v>45992</v>
      </c>
      <c r="U115" s="5" t="s">
        <v>70</v>
      </c>
      <c r="V115" s="4">
        <v>45993</v>
      </c>
      <c r="W115" t="s">
        <v>70</v>
      </c>
      <c r="X115" s="4">
        <v>45994</v>
      </c>
      <c r="Z115" s="4">
        <v>45995</v>
      </c>
      <c r="AB115" s="4">
        <v>45996</v>
      </c>
      <c r="AD115" s="4">
        <v>45997</v>
      </c>
      <c r="AF115" s="13">
        <v>45998</v>
      </c>
      <c r="AG115" s="5" t="s">
        <v>75</v>
      </c>
      <c r="AH115" s="4">
        <v>45999</v>
      </c>
      <c r="AJ115" s="4">
        <v>46000</v>
      </c>
      <c r="AL115" s="4">
        <v>46001</v>
      </c>
      <c r="AN115" s="4">
        <v>46002</v>
      </c>
      <c r="AP115" s="4">
        <v>46003</v>
      </c>
      <c r="AR115" s="4">
        <v>46006</v>
      </c>
      <c r="AT115" s="4">
        <v>46007</v>
      </c>
      <c r="AV115" s="4">
        <v>46008</v>
      </c>
      <c r="AX115" s="4">
        <v>46009</v>
      </c>
      <c r="AZ115" s="4">
        <v>46010</v>
      </c>
      <c r="BB115" s="4">
        <v>46011</v>
      </c>
      <c r="BD115" s="4">
        <v>46012</v>
      </c>
    </row>
    <row r="116" spans="1:60" x14ac:dyDescent="0.3">
      <c r="A116" s="6" t="s">
        <v>195</v>
      </c>
      <c r="B116" s="3" t="s">
        <v>14</v>
      </c>
      <c r="C116" s="4">
        <v>45973</v>
      </c>
      <c r="D116" s="4">
        <v>45975</v>
      </c>
      <c r="E116" t="s">
        <v>278</v>
      </c>
      <c r="F116" s="4">
        <v>45978</v>
      </c>
      <c r="G116">
        <v>0.24</v>
      </c>
      <c r="H116" s="4">
        <v>45980</v>
      </c>
      <c r="I116">
        <v>0.42</v>
      </c>
      <c r="J116" s="4">
        <v>45982</v>
      </c>
      <c r="K116">
        <v>0.42</v>
      </c>
      <c r="L116" s="4">
        <v>45985</v>
      </c>
      <c r="M116">
        <v>0.66</v>
      </c>
      <c r="N116" s="4">
        <v>45987</v>
      </c>
      <c r="O116">
        <v>0.66</v>
      </c>
      <c r="P116" s="4">
        <v>45989</v>
      </c>
      <c r="Q116">
        <v>0.72</v>
      </c>
      <c r="R116" s="4">
        <v>45991</v>
      </c>
      <c r="T116" s="13">
        <v>45992</v>
      </c>
      <c r="U116" s="5" t="s">
        <v>70</v>
      </c>
      <c r="V116" s="4">
        <v>45993</v>
      </c>
      <c r="W116" t="s">
        <v>70</v>
      </c>
      <c r="X116" s="4">
        <v>45994</v>
      </c>
      <c r="Z116" s="4">
        <v>45995</v>
      </c>
      <c r="AB116" s="4">
        <v>45996</v>
      </c>
      <c r="AD116" s="4">
        <v>45997</v>
      </c>
      <c r="AF116" s="13">
        <v>45998</v>
      </c>
      <c r="AG116" s="5" t="s">
        <v>75</v>
      </c>
      <c r="AH116" s="4">
        <v>45999</v>
      </c>
      <c r="AJ116" s="4">
        <v>46000</v>
      </c>
      <c r="AL116" s="4">
        <v>46001</v>
      </c>
      <c r="AN116" s="4">
        <v>46002</v>
      </c>
      <c r="AP116" s="4">
        <v>46003</v>
      </c>
      <c r="AR116" s="4">
        <v>46006</v>
      </c>
      <c r="AT116" s="4">
        <v>46007</v>
      </c>
      <c r="AV116" s="4">
        <v>46008</v>
      </c>
      <c r="AX116" s="4">
        <v>46009</v>
      </c>
      <c r="AZ116" s="4">
        <v>46010</v>
      </c>
      <c r="BB116" s="4">
        <v>46011</v>
      </c>
      <c r="BD116" s="4">
        <v>46012</v>
      </c>
    </row>
    <row r="117" spans="1:60" x14ac:dyDescent="0.3">
      <c r="A117" s="7" t="s">
        <v>196</v>
      </c>
      <c r="B117" s="3" t="s">
        <v>14</v>
      </c>
      <c r="C117" s="4">
        <v>45973</v>
      </c>
      <c r="D117" s="8">
        <v>45975</v>
      </c>
      <c r="E117" s="9">
        <v>0.3</v>
      </c>
      <c r="F117" s="4">
        <v>45978</v>
      </c>
      <c r="H117" s="4">
        <v>45980</v>
      </c>
      <c r="J117" s="4">
        <v>45982</v>
      </c>
      <c r="L117" s="4">
        <v>45985</v>
      </c>
      <c r="N117" s="4">
        <v>45987</v>
      </c>
      <c r="P117" s="4">
        <v>45989</v>
      </c>
      <c r="R117" s="4">
        <v>45991</v>
      </c>
      <c r="T117" s="4">
        <v>45992</v>
      </c>
      <c r="V117" s="4">
        <v>45993</v>
      </c>
      <c r="X117" s="4">
        <v>45994</v>
      </c>
      <c r="Z117" s="4">
        <v>45995</v>
      </c>
      <c r="AB117" s="4">
        <v>45996</v>
      </c>
      <c r="AD117" s="4">
        <v>45997</v>
      </c>
      <c r="AF117" s="4">
        <v>45998</v>
      </c>
      <c r="AH117" s="4">
        <v>45999</v>
      </c>
      <c r="AJ117" s="4">
        <v>46000</v>
      </c>
      <c r="AL117" s="4">
        <v>46001</v>
      </c>
      <c r="AN117" s="4">
        <v>46002</v>
      </c>
      <c r="AP117" s="4">
        <v>46003</v>
      </c>
      <c r="AR117" s="4">
        <v>46006</v>
      </c>
      <c r="AT117" s="4">
        <v>46007</v>
      </c>
      <c r="AV117" s="4">
        <v>46008</v>
      </c>
      <c r="AX117" s="4">
        <v>46009</v>
      </c>
      <c r="AZ117" s="4">
        <v>46010</v>
      </c>
      <c r="BB117" s="4">
        <v>46011</v>
      </c>
      <c r="BD117" s="4">
        <v>46012</v>
      </c>
    </row>
    <row r="118" spans="1:60" x14ac:dyDescent="0.3">
      <c r="A118" s="6" t="s">
        <v>197</v>
      </c>
      <c r="B118" s="3" t="s">
        <v>14</v>
      </c>
      <c r="C118" s="4">
        <v>45973</v>
      </c>
      <c r="D118" s="4">
        <v>45975</v>
      </c>
      <c r="E118" t="s">
        <v>278</v>
      </c>
      <c r="F118" s="4">
        <v>45978</v>
      </c>
      <c r="G118">
        <v>0.24</v>
      </c>
      <c r="H118" s="4">
        <v>45980</v>
      </c>
      <c r="I118">
        <v>0.42</v>
      </c>
      <c r="J118" s="4">
        <v>45982</v>
      </c>
      <c r="K118">
        <v>0.42</v>
      </c>
      <c r="L118" s="4">
        <v>45985</v>
      </c>
      <c r="M118">
        <v>0.66</v>
      </c>
      <c r="N118" s="4">
        <v>45987</v>
      </c>
      <c r="O118">
        <v>0.72</v>
      </c>
      <c r="P118" s="4">
        <v>45989</v>
      </c>
      <c r="Q118">
        <v>0.72</v>
      </c>
      <c r="R118" s="4">
        <v>45991</v>
      </c>
      <c r="T118" s="4">
        <v>45992</v>
      </c>
      <c r="U118" t="s">
        <v>69</v>
      </c>
      <c r="V118" s="4">
        <v>45993</v>
      </c>
      <c r="X118" s="13">
        <v>45994</v>
      </c>
      <c r="Y118" s="5" t="s">
        <v>70</v>
      </c>
      <c r="Z118" s="4">
        <v>45995</v>
      </c>
      <c r="AB118" s="4">
        <v>45996</v>
      </c>
      <c r="AD118" s="4">
        <v>45997</v>
      </c>
      <c r="AF118" s="4">
        <v>45998</v>
      </c>
      <c r="AH118" s="13">
        <v>45999</v>
      </c>
      <c r="AI118" s="5" t="s">
        <v>75</v>
      </c>
      <c r="AJ118" s="4">
        <v>46000</v>
      </c>
      <c r="AL118" s="4">
        <v>46001</v>
      </c>
      <c r="AN118" s="4">
        <v>46002</v>
      </c>
      <c r="AP118" s="4">
        <v>46003</v>
      </c>
      <c r="AR118" s="4">
        <v>46006</v>
      </c>
      <c r="AT118" s="4">
        <v>46007</v>
      </c>
      <c r="AV118" s="4">
        <v>46008</v>
      </c>
      <c r="AX118" s="4">
        <v>46009</v>
      </c>
      <c r="AZ118" s="4">
        <v>46010</v>
      </c>
      <c r="BB118" s="4">
        <v>46011</v>
      </c>
      <c r="BD118" s="4">
        <v>46012</v>
      </c>
    </row>
    <row r="119" spans="1:60" x14ac:dyDescent="0.3">
      <c r="A119" s="6" t="s">
        <v>198</v>
      </c>
      <c r="B119" s="3" t="s">
        <v>14</v>
      </c>
      <c r="C119" s="4">
        <v>45973</v>
      </c>
      <c r="D119" s="4">
        <v>45975</v>
      </c>
      <c r="E119" t="s">
        <v>278</v>
      </c>
      <c r="F119" s="4">
        <v>45978</v>
      </c>
      <c r="G119">
        <v>0.36</v>
      </c>
      <c r="H119" s="4">
        <v>45980</v>
      </c>
      <c r="I119">
        <v>0.42</v>
      </c>
      <c r="J119" s="4">
        <v>45982</v>
      </c>
      <c r="K119">
        <v>0.66</v>
      </c>
      <c r="L119" s="4">
        <v>45985</v>
      </c>
      <c r="M119">
        <v>0.66</v>
      </c>
      <c r="N119" s="4">
        <v>45987</v>
      </c>
      <c r="O119" t="s">
        <v>69</v>
      </c>
      <c r="P119" s="13">
        <v>45989</v>
      </c>
      <c r="Q119" s="5" t="s">
        <v>70</v>
      </c>
      <c r="R119" s="4">
        <v>45991</v>
      </c>
      <c r="T119" s="4">
        <v>45992</v>
      </c>
      <c r="V119" s="4">
        <v>45993</v>
      </c>
      <c r="X119" s="13">
        <v>45994</v>
      </c>
      <c r="Y119" s="5" t="s">
        <v>75</v>
      </c>
      <c r="Z119" s="4">
        <v>45995</v>
      </c>
      <c r="AB119" s="4">
        <v>45996</v>
      </c>
      <c r="AD119" s="4">
        <v>45997</v>
      </c>
      <c r="AF119" s="4">
        <v>45998</v>
      </c>
      <c r="AH119" s="4">
        <v>45999</v>
      </c>
      <c r="AJ119" s="4">
        <v>46000</v>
      </c>
      <c r="AL119" s="4">
        <v>46001</v>
      </c>
      <c r="AN119" s="4">
        <v>46002</v>
      </c>
      <c r="AP119" s="4">
        <v>46003</v>
      </c>
      <c r="AR119" s="4">
        <v>46006</v>
      </c>
      <c r="AT119" s="4">
        <v>46007</v>
      </c>
      <c r="AV119" s="4">
        <v>46008</v>
      </c>
      <c r="AX119" s="4">
        <v>46009</v>
      </c>
      <c r="AZ119" s="4">
        <v>46010</v>
      </c>
      <c r="BB119" s="4">
        <v>46011</v>
      </c>
      <c r="BD119" s="4">
        <v>46012</v>
      </c>
      <c r="BH119" t="s">
        <v>276</v>
      </c>
    </row>
    <row r="120" spans="1:60" x14ac:dyDescent="0.3">
      <c r="A120" s="6" t="s">
        <v>199</v>
      </c>
      <c r="B120" s="3" t="s">
        <v>14</v>
      </c>
      <c r="C120" s="4">
        <v>45973</v>
      </c>
      <c r="D120" s="4">
        <v>45975</v>
      </c>
      <c r="E120" t="s">
        <v>278</v>
      </c>
      <c r="F120" s="4">
        <v>45978</v>
      </c>
      <c r="G120">
        <v>0.36</v>
      </c>
      <c r="H120" s="4">
        <v>45980</v>
      </c>
      <c r="I120">
        <v>0.36</v>
      </c>
      <c r="J120" s="4">
        <v>45982</v>
      </c>
      <c r="K120">
        <v>0.66</v>
      </c>
      <c r="L120" s="4">
        <v>45985</v>
      </c>
      <c r="M120">
        <v>0.66</v>
      </c>
      <c r="N120" s="4">
        <v>45987</v>
      </c>
      <c r="O120">
        <v>0.66</v>
      </c>
      <c r="P120" s="4">
        <v>45989</v>
      </c>
      <c r="Q120" t="s">
        <v>69</v>
      </c>
      <c r="R120" s="13">
        <v>45991</v>
      </c>
      <c r="S120" s="5" t="s">
        <v>70</v>
      </c>
      <c r="T120" s="4">
        <v>45992</v>
      </c>
      <c r="V120" s="4">
        <v>45993</v>
      </c>
      <c r="X120" s="4">
        <v>45994</v>
      </c>
      <c r="Z120" s="4">
        <v>45995</v>
      </c>
      <c r="AB120" s="13">
        <v>45996</v>
      </c>
      <c r="AC120" s="5" t="s">
        <v>75</v>
      </c>
      <c r="AD120" s="4">
        <v>45997</v>
      </c>
      <c r="AF120" s="4">
        <v>45998</v>
      </c>
      <c r="AH120" s="4">
        <v>45999</v>
      </c>
      <c r="AJ120" s="4">
        <v>46000</v>
      </c>
      <c r="AL120" s="4">
        <v>46001</v>
      </c>
      <c r="AN120" s="4">
        <v>46002</v>
      </c>
      <c r="AP120" s="4">
        <v>46003</v>
      </c>
      <c r="AR120" s="4">
        <v>46006</v>
      </c>
      <c r="AT120" s="4">
        <v>46007</v>
      </c>
      <c r="AV120" s="4">
        <v>46008</v>
      </c>
      <c r="AX120" s="4">
        <v>46009</v>
      </c>
      <c r="AZ120" s="4">
        <v>46010</v>
      </c>
      <c r="BB120" s="4">
        <v>46011</v>
      </c>
      <c r="BD120" s="4">
        <v>46012</v>
      </c>
      <c r="BH120" t="s">
        <v>276</v>
      </c>
    </row>
    <row r="121" spans="1:60" x14ac:dyDescent="0.3">
      <c r="A121" s="6" t="s">
        <v>200</v>
      </c>
      <c r="B121" s="3" t="s">
        <v>14</v>
      </c>
      <c r="C121" s="4">
        <v>45973</v>
      </c>
      <c r="D121" s="4">
        <v>45975</v>
      </c>
      <c r="E121" t="s">
        <v>169</v>
      </c>
      <c r="F121" s="4">
        <v>45978</v>
      </c>
      <c r="G121">
        <v>0.24</v>
      </c>
      <c r="H121" s="4">
        <v>45980</v>
      </c>
      <c r="I121">
        <v>0.24</v>
      </c>
      <c r="J121" s="4">
        <v>45982</v>
      </c>
      <c r="K121">
        <v>0.42</v>
      </c>
      <c r="L121" s="4">
        <v>45985</v>
      </c>
      <c r="M121">
        <v>0.48</v>
      </c>
      <c r="N121" s="4">
        <v>45987</v>
      </c>
      <c r="O121">
        <v>0.66</v>
      </c>
      <c r="P121" s="4">
        <v>45989</v>
      </c>
      <c r="Q121">
        <v>0.72</v>
      </c>
      <c r="R121" s="4">
        <v>45991</v>
      </c>
      <c r="T121" s="4">
        <v>45992</v>
      </c>
      <c r="U121" t="s">
        <v>69</v>
      </c>
      <c r="V121" s="4">
        <v>45993</v>
      </c>
      <c r="X121" s="13">
        <v>45994</v>
      </c>
      <c r="Y121" s="5" t="s">
        <v>70</v>
      </c>
      <c r="Z121" s="4">
        <v>45995</v>
      </c>
      <c r="AB121" s="4">
        <v>45996</v>
      </c>
      <c r="AD121" s="4">
        <v>45997</v>
      </c>
      <c r="AF121" s="4">
        <v>45998</v>
      </c>
      <c r="AH121" s="4">
        <v>45999</v>
      </c>
      <c r="AJ121" s="13">
        <v>46000</v>
      </c>
      <c r="AK121" s="5" t="s">
        <v>75</v>
      </c>
      <c r="AL121" s="4">
        <v>46001</v>
      </c>
      <c r="AN121" s="4">
        <v>46002</v>
      </c>
      <c r="AP121" s="4">
        <v>46003</v>
      </c>
      <c r="AR121" s="4">
        <v>46006</v>
      </c>
      <c r="AT121" s="4">
        <v>46007</v>
      </c>
      <c r="AV121" s="4">
        <v>46008</v>
      </c>
      <c r="AX121" s="4">
        <v>46009</v>
      </c>
      <c r="AZ121" s="4">
        <v>46010</v>
      </c>
      <c r="BB121" s="4">
        <v>46011</v>
      </c>
      <c r="BD121" s="4">
        <v>46012</v>
      </c>
      <c r="BH121" t="s">
        <v>277</v>
      </c>
    </row>
    <row r="122" spans="1:60" x14ac:dyDescent="0.3">
      <c r="A122" s="3" t="s">
        <v>201</v>
      </c>
      <c r="B122" s="3" t="s">
        <v>14</v>
      </c>
      <c r="C122" s="4">
        <v>45973</v>
      </c>
      <c r="D122" s="4">
        <v>45975</v>
      </c>
      <c r="E122" t="s">
        <v>169</v>
      </c>
      <c r="F122" s="4">
        <v>45978</v>
      </c>
      <c r="H122" s="4">
        <v>45980</v>
      </c>
      <c r="J122" s="4">
        <v>45982</v>
      </c>
      <c r="L122" s="4">
        <v>45985</v>
      </c>
      <c r="N122" s="4">
        <v>45987</v>
      </c>
      <c r="P122" s="4">
        <v>45989</v>
      </c>
      <c r="R122" s="4">
        <v>45991</v>
      </c>
      <c r="T122" s="4">
        <v>45992</v>
      </c>
      <c r="V122" s="4">
        <v>45993</v>
      </c>
      <c r="X122" s="4">
        <v>45994</v>
      </c>
      <c r="Z122" s="4">
        <v>45995</v>
      </c>
      <c r="AB122" s="4">
        <v>45996</v>
      </c>
      <c r="AD122" s="4">
        <v>45997</v>
      </c>
      <c r="AF122" s="4">
        <v>45998</v>
      </c>
      <c r="AH122" s="4">
        <v>45999</v>
      </c>
      <c r="AJ122" s="4">
        <v>46000</v>
      </c>
      <c r="AL122" s="4">
        <v>46001</v>
      </c>
      <c r="AN122" s="4">
        <v>46002</v>
      </c>
      <c r="AP122" s="4">
        <v>46003</v>
      </c>
      <c r="AR122" s="4">
        <v>46006</v>
      </c>
      <c r="AT122" s="4">
        <v>46007</v>
      </c>
      <c r="AV122" s="4">
        <v>46008</v>
      </c>
      <c r="AX122" s="4">
        <v>46009</v>
      </c>
      <c r="AZ122" s="4">
        <v>46010</v>
      </c>
      <c r="BB122" s="4">
        <v>46011</v>
      </c>
      <c r="BD122" s="4">
        <v>46012</v>
      </c>
      <c r="BH122" t="s">
        <v>161</v>
      </c>
    </row>
    <row r="123" spans="1:60" x14ac:dyDescent="0.3">
      <c r="A123" s="7" t="s">
        <v>202</v>
      </c>
      <c r="B123" s="3" t="s">
        <v>14</v>
      </c>
      <c r="C123" s="4">
        <v>45973</v>
      </c>
      <c r="D123" s="4">
        <v>45975</v>
      </c>
      <c r="E123" t="s">
        <v>169</v>
      </c>
      <c r="F123" s="8">
        <v>45978</v>
      </c>
      <c r="G123" s="9">
        <v>0.24</v>
      </c>
      <c r="H123" s="4">
        <v>45980</v>
      </c>
      <c r="J123" s="4">
        <v>45982</v>
      </c>
      <c r="L123" s="4">
        <v>45985</v>
      </c>
      <c r="N123" s="4">
        <v>45987</v>
      </c>
      <c r="P123" s="4">
        <v>45989</v>
      </c>
      <c r="R123" s="4">
        <v>45991</v>
      </c>
      <c r="T123" s="4">
        <v>45992</v>
      </c>
      <c r="V123" s="4">
        <v>45993</v>
      </c>
      <c r="X123" s="4">
        <v>45994</v>
      </c>
      <c r="Z123" s="4">
        <v>45995</v>
      </c>
      <c r="AB123" s="4">
        <v>45996</v>
      </c>
      <c r="AD123" s="4">
        <v>45997</v>
      </c>
      <c r="AF123" s="4">
        <v>45998</v>
      </c>
      <c r="AH123" s="4">
        <v>45999</v>
      </c>
      <c r="AJ123" s="4">
        <v>46000</v>
      </c>
      <c r="AL123" s="4">
        <v>46001</v>
      </c>
      <c r="AN123" s="4">
        <v>46002</v>
      </c>
      <c r="AP123" s="4">
        <v>46003</v>
      </c>
      <c r="AR123" s="4">
        <v>46006</v>
      </c>
      <c r="AT123" s="4">
        <v>46007</v>
      </c>
      <c r="AV123" s="4">
        <v>46008</v>
      </c>
      <c r="AX123" s="4">
        <v>46009</v>
      </c>
      <c r="AZ123" s="4">
        <v>46010</v>
      </c>
      <c r="BB123" s="4">
        <v>46011</v>
      </c>
      <c r="BD123" s="4">
        <v>46012</v>
      </c>
      <c r="BH123" t="s">
        <v>276</v>
      </c>
    </row>
    <row r="124" spans="1:60" x14ac:dyDescent="0.3">
      <c r="A124" s="6" t="s">
        <v>203</v>
      </c>
      <c r="B124" s="3" t="s">
        <v>14</v>
      </c>
      <c r="C124" s="4">
        <v>45973</v>
      </c>
      <c r="D124" s="4">
        <v>45975</v>
      </c>
      <c r="E124" t="s">
        <v>278</v>
      </c>
      <c r="F124" s="4">
        <v>45978</v>
      </c>
      <c r="G124">
        <v>0.24</v>
      </c>
      <c r="H124" s="4">
        <v>45980</v>
      </c>
      <c r="I124">
        <v>0.24</v>
      </c>
      <c r="J124" s="4">
        <v>45982</v>
      </c>
      <c r="K124">
        <v>0.42</v>
      </c>
      <c r="L124" s="4">
        <v>45985</v>
      </c>
      <c r="M124">
        <v>0.42</v>
      </c>
      <c r="N124" s="4">
        <v>45987</v>
      </c>
      <c r="O124">
        <v>0.48</v>
      </c>
      <c r="P124" s="4">
        <v>45989</v>
      </c>
      <c r="Q124">
        <v>0.66</v>
      </c>
      <c r="R124" s="4">
        <v>45991</v>
      </c>
      <c r="T124" s="4">
        <v>45992</v>
      </c>
      <c r="U124">
        <v>0.66</v>
      </c>
      <c r="V124" s="4">
        <v>45993</v>
      </c>
      <c r="X124" s="4">
        <v>45994</v>
      </c>
      <c r="Y124">
        <v>0.72</v>
      </c>
      <c r="Z124" s="4">
        <v>45995</v>
      </c>
      <c r="AB124" s="4">
        <v>45996</v>
      </c>
      <c r="AC124" t="s">
        <v>69</v>
      </c>
      <c r="AD124" s="4">
        <v>45997</v>
      </c>
      <c r="AF124" s="13">
        <v>45998</v>
      </c>
      <c r="AG124" s="5" t="s">
        <v>70</v>
      </c>
      <c r="AH124" s="4">
        <v>45999</v>
      </c>
      <c r="AJ124" s="4">
        <v>46000</v>
      </c>
      <c r="AL124" s="4">
        <v>46001</v>
      </c>
      <c r="AN124" s="13">
        <v>46002</v>
      </c>
      <c r="AO124" s="5" t="s">
        <v>75</v>
      </c>
      <c r="AP124" s="4">
        <v>46003</v>
      </c>
      <c r="AR124" s="4">
        <v>46006</v>
      </c>
      <c r="AT124" s="4">
        <v>46007</v>
      </c>
      <c r="AV124" s="4">
        <v>46008</v>
      </c>
      <c r="AX124" s="4">
        <v>46009</v>
      </c>
      <c r="AZ124" s="4">
        <v>46010</v>
      </c>
      <c r="BB124" s="4">
        <v>46011</v>
      </c>
      <c r="BD124" s="4">
        <v>46012</v>
      </c>
      <c r="BH124" t="s">
        <v>276</v>
      </c>
    </row>
    <row r="125" spans="1:60" x14ac:dyDescent="0.3">
      <c r="A125" s="6" t="s">
        <v>204</v>
      </c>
      <c r="B125" s="3" t="s">
        <v>14</v>
      </c>
      <c r="C125" s="4">
        <v>45973</v>
      </c>
      <c r="D125" s="4">
        <v>45975</v>
      </c>
      <c r="E125" t="s">
        <v>278</v>
      </c>
      <c r="F125" s="4">
        <v>45978</v>
      </c>
      <c r="G125">
        <v>0.24</v>
      </c>
      <c r="H125" s="4">
        <v>45980</v>
      </c>
      <c r="I125">
        <v>0.42</v>
      </c>
      <c r="J125" s="4">
        <v>45982</v>
      </c>
      <c r="K125">
        <v>0.42</v>
      </c>
      <c r="L125" s="4">
        <v>45985</v>
      </c>
      <c r="M125">
        <v>0.66</v>
      </c>
      <c r="N125" s="4">
        <v>45987</v>
      </c>
      <c r="O125">
        <v>0.72</v>
      </c>
      <c r="P125" s="4">
        <v>45989</v>
      </c>
      <c r="Q125">
        <v>0.72</v>
      </c>
      <c r="R125" s="4">
        <v>45991</v>
      </c>
      <c r="T125" s="4">
        <v>45992</v>
      </c>
      <c r="U125" t="s">
        <v>69</v>
      </c>
      <c r="V125" s="4">
        <v>45993</v>
      </c>
      <c r="X125" s="13">
        <v>45994</v>
      </c>
      <c r="Y125" s="5" t="s">
        <v>70</v>
      </c>
      <c r="Z125" s="4">
        <v>45995</v>
      </c>
      <c r="AB125" s="4">
        <v>45996</v>
      </c>
      <c r="AD125" s="4">
        <v>45997</v>
      </c>
      <c r="AF125" s="13">
        <v>45998</v>
      </c>
      <c r="AG125" s="5" t="s">
        <v>75</v>
      </c>
      <c r="AH125" s="4">
        <v>45999</v>
      </c>
      <c r="AJ125" s="4">
        <v>46000</v>
      </c>
      <c r="AL125" s="4">
        <v>46001</v>
      </c>
      <c r="AN125" s="4">
        <v>46002</v>
      </c>
      <c r="AP125" s="4">
        <v>46003</v>
      </c>
      <c r="AR125" s="4">
        <v>46006</v>
      </c>
      <c r="AT125" s="4">
        <v>46007</v>
      </c>
      <c r="AV125" s="4">
        <v>46008</v>
      </c>
      <c r="AX125" s="4">
        <v>46009</v>
      </c>
      <c r="AZ125" s="4">
        <v>46010</v>
      </c>
      <c r="BB125" s="4">
        <v>46011</v>
      </c>
      <c r="BD125" s="4">
        <v>46012</v>
      </c>
      <c r="BH125" t="s">
        <v>276</v>
      </c>
    </row>
    <row r="126" spans="1:60" x14ac:dyDescent="0.3">
      <c r="A126" s="6" t="s">
        <v>205</v>
      </c>
      <c r="B126" s="3" t="s">
        <v>14</v>
      </c>
      <c r="C126" s="4">
        <v>45973</v>
      </c>
      <c r="D126" s="4">
        <v>45975</v>
      </c>
      <c r="E126" t="s">
        <v>278</v>
      </c>
      <c r="F126" s="4">
        <v>45978</v>
      </c>
      <c r="G126">
        <v>0.3</v>
      </c>
      <c r="H126" s="4">
        <v>45980</v>
      </c>
      <c r="I126">
        <v>0.42</v>
      </c>
      <c r="J126" s="4">
        <v>45982</v>
      </c>
      <c r="K126">
        <v>0.42</v>
      </c>
      <c r="L126" s="4">
        <v>45985</v>
      </c>
      <c r="M126">
        <v>0.66</v>
      </c>
      <c r="N126" s="4">
        <v>45987</v>
      </c>
      <c r="O126">
        <v>0.66</v>
      </c>
      <c r="P126" s="4">
        <v>45989</v>
      </c>
      <c r="Q126">
        <v>0.72</v>
      </c>
      <c r="R126" s="4">
        <v>45991</v>
      </c>
      <c r="T126" s="13">
        <v>45992</v>
      </c>
      <c r="U126" s="5" t="s">
        <v>70</v>
      </c>
      <c r="V126" s="4">
        <v>45993</v>
      </c>
      <c r="W126" t="s">
        <v>70</v>
      </c>
      <c r="X126" s="4">
        <v>45994</v>
      </c>
      <c r="Z126" s="4">
        <v>45995</v>
      </c>
      <c r="AB126" s="4">
        <v>45996</v>
      </c>
      <c r="AD126" s="4">
        <v>45997</v>
      </c>
      <c r="AF126" s="13">
        <v>45998</v>
      </c>
      <c r="AG126" s="5" t="s">
        <v>75</v>
      </c>
      <c r="AH126" s="4">
        <v>45999</v>
      </c>
      <c r="AJ126" s="4">
        <v>46000</v>
      </c>
      <c r="AL126" s="4">
        <v>46001</v>
      </c>
      <c r="AN126" s="4">
        <v>46002</v>
      </c>
      <c r="AP126" s="4">
        <v>46003</v>
      </c>
      <c r="AR126" s="4">
        <v>46006</v>
      </c>
      <c r="AT126" s="4">
        <v>46007</v>
      </c>
      <c r="AV126" s="4">
        <v>46008</v>
      </c>
      <c r="AX126" s="4">
        <v>46009</v>
      </c>
      <c r="AZ126" s="4">
        <v>46010</v>
      </c>
      <c r="BB126" s="4">
        <v>46011</v>
      </c>
      <c r="BD126" s="4">
        <v>46012</v>
      </c>
      <c r="BH126" t="s">
        <v>276</v>
      </c>
    </row>
    <row r="127" spans="1:60" x14ac:dyDescent="0.3">
      <c r="A127" s="6" t="s">
        <v>206</v>
      </c>
      <c r="B127" s="3" t="s">
        <v>14</v>
      </c>
      <c r="C127" s="4">
        <v>45973</v>
      </c>
      <c r="D127" s="4">
        <v>45975</v>
      </c>
      <c r="E127" t="s">
        <v>278</v>
      </c>
      <c r="F127" s="4">
        <v>45978</v>
      </c>
      <c r="G127">
        <v>0.24</v>
      </c>
      <c r="H127" s="4">
        <v>45980</v>
      </c>
      <c r="I127">
        <v>0.42</v>
      </c>
      <c r="J127" s="4">
        <v>45982</v>
      </c>
      <c r="K127">
        <v>0.42</v>
      </c>
      <c r="L127" s="4">
        <v>45985</v>
      </c>
      <c r="M127">
        <v>0.66</v>
      </c>
      <c r="N127" s="4">
        <v>45987</v>
      </c>
      <c r="O127">
        <v>0.66</v>
      </c>
      <c r="P127" s="4">
        <v>45989</v>
      </c>
      <c r="Q127">
        <v>0.66</v>
      </c>
      <c r="R127" s="4">
        <v>45991</v>
      </c>
      <c r="T127" s="4">
        <v>45992</v>
      </c>
      <c r="U127" t="s">
        <v>69</v>
      </c>
      <c r="V127" s="4">
        <v>45993</v>
      </c>
      <c r="X127" s="13">
        <v>45994</v>
      </c>
      <c r="Y127" s="5" t="s">
        <v>70</v>
      </c>
      <c r="Z127" s="4">
        <v>45995</v>
      </c>
      <c r="AB127" s="4">
        <v>45996</v>
      </c>
      <c r="AD127" s="4">
        <v>45997</v>
      </c>
      <c r="AF127" s="4">
        <v>45998</v>
      </c>
      <c r="AH127" s="13">
        <v>45999</v>
      </c>
      <c r="AI127" s="5" t="s">
        <v>75</v>
      </c>
      <c r="AJ127" s="4">
        <v>46000</v>
      </c>
      <c r="AL127" s="4">
        <v>46001</v>
      </c>
      <c r="AN127" s="4">
        <v>46002</v>
      </c>
      <c r="AP127" s="4">
        <v>46003</v>
      </c>
      <c r="AR127" s="4">
        <v>46006</v>
      </c>
      <c r="AT127" s="4">
        <v>46007</v>
      </c>
      <c r="AV127" s="4">
        <v>46008</v>
      </c>
      <c r="AX127" s="4">
        <v>46009</v>
      </c>
      <c r="AZ127" s="4">
        <v>46010</v>
      </c>
      <c r="BB127" s="4">
        <v>46011</v>
      </c>
      <c r="BD127" s="4">
        <v>46012</v>
      </c>
      <c r="BH127" t="s">
        <v>276</v>
      </c>
    </row>
    <row r="128" spans="1:60" x14ac:dyDescent="0.3">
      <c r="A128" s="6" t="s">
        <v>207</v>
      </c>
      <c r="B128" s="3" t="s">
        <v>14</v>
      </c>
      <c r="C128" s="4">
        <v>45973</v>
      </c>
      <c r="D128" s="4">
        <v>45975</v>
      </c>
      <c r="E128" t="s">
        <v>169</v>
      </c>
      <c r="F128" s="4">
        <v>45978</v>
      </c>
      <c r="G128">
        <v>0.3</v>
      </c>
      <c r="H128" s="4">
        <v>45980</v>
      </c>
      <c r="I128">
        <v>0.42</v>
      </c>
      <c r="J128" s="4">
        <v>45982</v>
      </c>
      <c r="K128">
        <v>0.42</v>
      </c>
      <c r="L128" s="4">
        <v>45985</v>
      </c>
      <c r="M128">
        <v>0.72</v>
      </c>
      <c r="N128" s="4">
        <v>45987</v>
      </c>
      <c r="O128">
        <v>0.72</v>
      </c>
      <c r="P128" s="4">
        <v>45989</v>
      </c>
      <c r="Q128" t="s">
        <v>69</v>
      </c>
      <c r="R128" s="4">
        <v>45991</v>
      </c>
      <c r="T128" s="13">
        <v>45992</v>
      </c>
      <c r="U128" s="5" t="s">
        <v>70</v>
      </c>
      <c r="V128" s="4">
        <v>45993</v>
      </c>
      <c r="W128" t="s">
        <v>70</v>
      </c>
      <c r="X128" s="4">
        <v>45994</v>
      </c>
      <c r="Z128" s="4">
        <v>45995</v>
      </c>
      <c r="AB128" s="4">
        <v>45996</v>
      </c>
      <c r="AD128" s="4">
        <v>45997</v>
      </c>
      <c r="AF128" s="13">
        <v>45998</v>
      </c>
      <c r="AG128" s="5" t="s">
        <v>75</v>
      </c>
      <c r="AH128" s="4">
        <v>45999</v>
      </c>
      <c r="AJ128" s="4">
        <v>46000</v>
      </c>
      <c r="AL128" s="4">
        <v>46001</v>
      </c>
      <c r="AN128" s="4">
        <v>46002</v>
      </c>
      <c r="AP128" s="4">
        <v>46003</v>
      </c>
      <c r="AR128" s="4">
        <v>46006</v>
      </c>
      <c r="AT128" s="4">
        <v>46007</v>
      </c>
      <c r="AV128" s="4">
        <v>46008</v>
      </c>
      <c r="AX128" s="4">
        <v>46009</v>
      </c>
      <c r="AZ128" s="4">
        <v>46010</v>
      </c>
      <c r="BB128" s="4">
        <v>46011</v>
      </c>
      <c r="BD128" s="4">
        <v>46012</v>
      </c>
      <c r="BH128" t="s">
        <v>276</v>
      </c>
    </row>
    <row r="129" spans="1:60" x14ac:dyDescent="0.3">
      <c r="A129" s="6" t="s">
        <v>208</v>
      </c>
      <c r="B129" s="3" t="s">
        <v>14</v>
      </c>
      <c r="C129" s="4">
        <v>45973</v>
      </c>
      <c r="D129" s="4">
        <v>45975</v>
      </c>
      <c r="E129" t="s">
        <v>278</v>
      </c>
      <c r="F129" s="4">
        <v>45978</v>
      </c>
      <c r="G129">
        <v>0.36</v>
      </c>
      <c r="H129" s="4">
        <v>45980</v>
      </c>
      <c r="I129">
        <v>0.42</v>
      </c>
      <c r="J129" s="4">
        <v>45982</v>
      </c>
      <c r="K129">
        <v>0.66</v>
      </c>
      <c r="L129" s="4">
        <v>45985</v>
      </c>
      <c r="M129">
        <v>0.66</v>
      </c>
      <c r="N129" s="4">
        <v>45987</v>
      </c>
      <c r="O129">
        <v>0.66</v>
      </c>
      <c r="P129" s="4">
        <v>45989</v>
      </c>
      <c r="Q129" t="s">
        <v>69</v>
      </c>
      <c r="R129" s="13">
        <v>45991</v>
      </c>
      <c r="S129" s="5" t="s">
        <v>70</v>
      </c>
      <c r="T129" s="4">
        <v>45992</v>
      </c>
      <c r="V129" s="4">
        <v>45993</v>
      </c>
      <c r="X129" s="4">
        <v>45994</v>
      </c>
      <c r="Z129" s="4">
        <v>45995</v>
      </c>
      <c r="AB129" s="13">
        <v>45996</v>
      </c>
      <c r="AC129" s="5" t="s">
        <v>75</v>
      </c>
      <c r="AD129" s="4">
        <v>45997</v>
      </c>
      <c r="AF129" s="4">
        <v>45998</v>
      </c>
      <c r="AH129" s="4">
        <v>45999</v>
      </c>
      <c r="AJ129" s="4">
        <v>46000</v>
      </c>
      <c r="AL129" s="4">
        <v>46001</v>
      </c>
      <c r="AN129" s="4">
        <v>46002</v>
      </c>
      <c r="AP129" s="4">
        <v>46003</v>
      </c>
      <c r="AR129" s="4">
        <v>46006</v>
      </c>
      <c r="AT129" s="4">
        <v>46007</v>
      </c>
      <c r="AV129" s="4">
        <v>46008</v>
      </c>
      <c r="AX129" s="4">
        <v>46009</v>
      </c>
      <c r="AZ129" s="4">
        <v>46010</v>
      </c>
      <c r="BB129" s="4">
        <v>46011</v>
      </c>
      <c r="BD129" s="4">
        <v>46012</v>
      </c>
      <c r="BH129" t="s">
        <v>276</v>
      </c>
    </row>
    <row r="130" spans="1:60" ht="13.8" customHeight="1" x14ac:dyDescent="0.3">
      <c r="A130" s="7" t="s">
        <v>209</v>
      </c>
      <c r="B130" s="3" t="s">
        <v>14</v>
      </c>
      <c r="C130" s="4">
        <v>45973</v>
      </c>
      <c r="D130" s="4">
        <v>45975</v>
      </c>
      <c r="E130" t="s">
        <v>169</v>
      </c>
      <c r="F130" s="8">
        <v>45978</v>
      </c>
      <c r="G130" s="9">
        <v>0.18</v>
      </c>
      <c r="H130" s="4">
        <v>45980</v>
      </c>
      <c r="J130" s="4">
        <v>45982</v>
      </c>
      <c r="L130" s="4">
        <v>45985</v>
      </c>
      <c r="N130" s="4">
        <v>45987</v>
      </c>
      <c r="P130" s="4">
        <v>45989</v>
      </c>
      <c r="R130" s="4">
        <v>45991</v>
      </c>
      <c r="T130" s="4">
        <v>45992</v>
      </c>
      <c r="V130" s="4">
        <v>45993</v>
      </c>
      <c r="X130" s="4">
        <v>45994</v>
      </c>
      <c r="Z130" s="4">
        <v>45995</v>
      </c>
      <c r="AB130" s="4">
        <v>45996</v>
      </c>
      <c r="AD130" s="4">
        <v>45997</v>
      </c>
      <c r="AF130" s="4">
        <v>45998</v>
      </c>
      <c r="AH130" s="4">
        <v>45999</v>
      </c>
      <c r="AJ130" s="4">
        <v>46000</v>
      </c>
      <c r="AL130" s="4">
        <v>46001</v>
      </c>
      <c r="AN130" s="4">
        <v>46002</v>
      </c>
      <c r="AP130" s="4">
        <v>46003</v>
      </c>
      <c r="AR130" s="4">
        <v>46006</v>
      </c>
      <c r="AT130" s="4">
        <v>46007</v>
      </c>
      <c r="AV130" s="4">
        <v>46008</v>
      </c>
      <c r="AX130" s="4">
        <v>46009</v>
      </c>
      <c r="AZ130" s="4">
        <v>46010</v>
      </c>
      <c r="BB130" s="4">
        <v>46011</v>
      </c>
      <c r="BD130" s="4">
        <v>46012</v>
      </c>
      <c r="BH130" t="s">
        <v>276</v>
      </c>
    </row>
    <row r="131" spans="1:60" x14ac:dyDescent="0.3">
      <c r="A131" s="6" t="s">
        <v>210</v>
      </c>
      <c r="B131" s="3" t="s">
        <v>14</v>
      </c>
      <c r="C131" s="4">
        <v>45973</v>
      </c>
      <c r="D131" s="4">
        <v>45975</v>
      </c>
      <c r="E131" t="s">
        <v>278</v>
      </c>
      <c r="F131" s="4">
        <v>45978</v>
      </c>
      <c r="G131">
        <v>0.3</v>
      </c>
      <c r="H131" s="4">
        <v>45980</v>
      </c>
      <c r="I131">
        <v>0.42</v>
      </c>
      <c r="J131" s="4">
        <v>45982</v>
      </c>
      <c r="K131">
        <v>0.42</v>
      </c>
      <c r="L131" s="4">
        <v>45985</v>
      </c>
      <c r="M131">
        <v>0.66</v>
      </c>
      <c r="N131" s="4">
        <v>45987</v>
      </c>
      <c r="O131">
        <v>0.72</v>
      </c>
      <c r="P131" s="4">
        <v>45989</v>
      </c>
      <c r="Q131" t="s">
        <v>69</v>
      </c>
      <c r="R131" s="13">
        <v>45991</v>
      </c>
      <c r="S131" s="5" t="s">
        <v>70</v>
      </c>
      <c r="T131" s="4">
        <v>45992</v>
      </c>
      <c r="V131" s="4">
        <v>45993</v>
      </c>
      <c r="X131" s="4">
        <v>45994</v>
      </c>
      <c r="Z131" s="4">
        <v>45995</v>
      </c>
      <c r="AB131" s="13">
        <v>45996</v>
      </c>
      <c r="AC131" s="5" t="s">
        <v>75</v>
      </c>
      <c r="AD131" s="4">
        <v>45997</v>
      </c>
      <c r="AF131" s="4">
        <v>45998</v>
      </c>
      <c r="AH131" s="4">
        <v>45999</v>
      </c>
      <c r="AJ131" s="4">
        <v>46000</v>
      </c>
      <c r="AL131" s="4">
        <v>46001</v>
      </c>
      <c r="AN131" s="4">
        <v>46002</v>
      </c>
      <c r="AP131" s="4">
        <v>46003</v>
      </c>
      <c r="AR131" s="4">
        <v>46006</v>
      </c>
      <c r="AT131" s="4">
        <v>46007</v>
      </c>
      <c r="AV131" s="4">
        <v>46008</v>
      </c>
      <c r="AX131" s="4">
        <v>46009</v>
      </c>
      <c r="AZ131" s="4">
        <v>46010</v>
      </c>
      <c r="BB131" s="4">
        <v>46011</v>
      </c>
      <c r="BD131" s="4">
        <v>46012</v>
      </c>
    </row>
    <row r="132" spans="1:60" x14ac:dyDescent="0.3">
      <c r="A132" s="6" t="s">
        <v>223</v>
      </c>
      <c r="B132" s="3" t="s">
        <v>247</v>
      </c>
      <c r="C132" s="4">
        <v>45973</v>
      </c>
      <c r="D132" s="4">
        <v>45975</v>
      </c>
      <c r="E132" t="s">
        <v>278</v>
      </c>
      <c r="F132" s="4">
        <v>45978</v>
      </c>
      <c r="G132">
        <v>0.36</v>
      </c>
      <c r="H132" s="4">
        <v>45980</v>
      </c>
      <c r="I132">
        <v>0.36</v>
      </c>
      <c r="J132" s="4">
        <v>45982</v>
      </c>
      <c r="K132">
        <v>0.36</v>
      </c>
      <c r="L132" s="4">
        <v>45985</v>
      </c>
      <c r="M132">
        <v>0.66</v>
      </c>
      <c r="N132" s="4">
        <v>45987</v>
      </c>
      <c r="O132">
        <v>0.66</v>
      </c>
      <c r="P132" s="4">
        <v>45989</v>
      </c>
      <c r="Q132">
        <v>0.66</v>
      </c>
      <c r="R132" s="4">
        <v>45991</v>
      </c>
      <c r="T132" s="4">
        <v>45992</v>
      </c>
      <c r="U132">
        <v>0.66</v>
      </c>
      <c r="V132" s="4">
        <v>45993</v>
      </c>
      <c r="X132" s="4">
        <v>45994</v>
      </c>
      <c r="Y132" t="s">
        <v>69</v>
      </c>
      <c r="Z132" s="4">
        <v>45995</v>
      </c>
      <c r="AB132" s="13">
        <v>45996</v>
      </c>
      <c r="AC132" s="5" t="s">
        <v>70</v>
      </c>
      <c r="AD132" s="4">
        <v>45997</v>
      </c>
      <c r="AF132" s="4">
        <v>45998</v>
      </c>
      <c r="AH132" s="4">
        <v>45999</v>
      </c>
      <c r="AJ132" s="4">
        <v>46000</v>
      </c>
      <c r="AL132" s="13">
        <v>46001</v>
      </c>
      <c r="AM132" s="5" t="s">
        <v>75</v>
      </c>
      <c r="AN132" s="4">
        <v>46002</v>
      </c>
      <c r="AP132" s="4">
        <v>46003</v>
      </c>
      <c r="AR132" s="4">
        <v>46006</v>
      </c>
      <c r="AT132" s="4">
        <v>46007</v>
      </c>
      <c r="AV132" s="4">
        <v>46008</v>
      </c>
      <c r="AX132" s="4">
        <v>46009</v>
      </c>
      <c r="AZ132" s="4">
        <v>46010</v>
      </c>
      <c r="BB132" s="4">
        <v>46011</v>
      </c>
      <c r="BD132" s="4">
        <v>46012</v>
      </c>
    </row>
    <row r="133" spans="1:60" x14ac:dyDescent="0.3">
      <c r="A133" s="6" t="s">
        <v>224</v>
      </c>
      <c r="B133" s="3" t="s">
        <v>247</v>
      </c>
      <c r="C133" s="4">
        <v>45973</v>
      </c>
      <c r="D133" s="4">
        <v>45975</v>
      </c>
      <c r="E133" t="s">
        <v>169</v>
      </c>
      <c r="F133" s="4">
        <v>45978</v>
      </c>
      <c r="G133">
        <v>0.24</v>
      </c>
      <c r="H133" s="4">
        <v>45980</v>
      </c>
      <c r="I133">
        <v>0.42</v>
      </c>
      <c r="J133" s="4">
        <v>45982</v>
      </c>
      <c r="K133">
        <v>0.42</v>
      </c>
      <c r="L133" s="4">
        <v>45985</v>
      </c>
      <c r="M133">
        <v>0.66</v>
      </c>
      <c r="N133" s="4">
        <v>45987</v>
      </c>
      <c r="O133">
        <v>0.72</v>
      </c>
      <c r="P133" s="4">
        <v>45989</v>
      </c>
      <c r="Q133">
        <v>0.72</v>
      </c>
      <c r="R133" s="4">
        <v>45991</v>
      </c>
      <c r="T133" s="4">
        <v>45992</v>
      </c>
      <c r="U133" t="s">
        <v>69</v>
      </c>
      <c r="V133" s="4">
        <v>45993</v>
      </c>
      <c r="X133" s="13">
        <v>45994</v>
      </c>
      <c r="Y133" s="5" t="s">
        <v>70</v>
      </c>
      <c r="Z133" s="4">
        <v>45995</v>
      </c>
      <c r="AB133" s="4">
        <v>45996</v>
      </c>
      <c r="AD133" s="4">
        <v>45997</v>
      </c>
      <c r="AF133" s="13">
        <v>45998</v>
      </c>
      <c r="AG133" s="5" t="s">
        <v>75</v>
      </c>
      <c r="AH133" s="4">
        <v>45999</v>
      </c>
      <c r="AJ133" s="4">
        <v>46000</v>
      </c>
      <c r="AL133" s="4">
        <v>46001</v>
      </c>
      <c r="AN133" s="4">
        <v>46002</v>
      </c>
      <c r="AP133" s="4">
        <v>46003</v>
      </c>
      <c r="AR133" s="4">
        <v>46006</v>
      </c>
      <c r="AT133" s="4">
        <v>46007</v>
      </c>
      <c r="AV133" s="4">
        <v>46008</v>
      </c>
      <c r="AX133" s="4">
        <v>46009</v>
      </c>
      <c r="AZ133" s="4">
        <v>46010</v>
      </c>
      <c r="BB133" s="4">
        <v>46011</v>
      </c>
      <c r="BD133" s="4">
        <v>46012</v>
      </c>
    </row>
    <row r="134" spans="1:60" x14ac:dyDescent="0.3">
      <c r="A134" s="3" t="s">
        <v>225</v>
      </c>
      <c r="B134" s="3" t="s">
        <v>247</v>
      </c>
      <c r="C134" s="4">
        <v>45973</v>
      </c>
      <c r="D134" s="4">
        <v>45975</v>
      </c>
      <c r="E134" t="s">
        <v>169</v>
      </c>
      <c r="F134" s="4">
        <v>45978</v>
      </c>
      <c r="H134" s="4">
        <v>45980</v>
      </c>
      <c r="J134" s="4">
        <v>45982</v>
      </c>
      <c r="L134" s="4">
        <v>45985</v>
      </c>
      <c r="N134" s="4">
        <v>45987</v>
      </c>
      <c r="P134" s="4">
        <v>45989</v>
      </c>
      <c r="R134" s="4">
        <v>45991</v>
      </c>
      <c r="T134" s="4">
        <v>45992</v>
      </c>
      <c r="V134" s="4">
        <v>45993</v>
      </c>
      <c r="X134" s="4">
        <v>45994</v>
      </c>
      <c r="Z134" s="4">
        <v>45995</v>
      </c>
      <c r="AB134" s="4">
        <v>45996</v>
      </c>
      <c r="AD134" s="4">
        <v>45997</v>
      </c>
      <c r="AF134" s="4">
        <v>45998</v>
      </c>
      <c r="AH134" s="4">
        <v>45999</v>
      </c>
      <c r="AJ134" s="4">
        <v>46000</v>
      </c>
      <c r="AL134" s="4">
        <v>46001</v>
      </c>
      <c r="AN134" s="4">
        <v>46002</v>
      </c>
      <c r="AP134" s="4">
        <v>46003</v>
      </c>
      <c r="AR134" s="4">
        <v>46006</v>
      </c>
      <c r="AT134" s="4">
        <v>46007</v>
      </c>
      <c r="AV134" s="4">
        <v>46008</v>
      </c>
      <c r="AX134" s="4">
        <v>46009</v>
      </c>
      <c r="AZ134" s="4">
        <v>46010</v>
      </c>
      <c r="BB134" s="4">
        <v>46011</v>
      </c>
      <c r="BD134" s="4">
        <v>46012</v>
      </c>
    </row>
    <row r="135" spans="1:60" x14ac:dyDescent="0.3">
      <c r="A135" s="7" t="s">
        <v>226</v>
      </c>
      <c r="B135" s="3" t="s">
        <v>247</v>
      </c>
      <c r="C135" s="4">
        <v>45973</v>
      </c>
      <c r="D135" s="4">
        <v>45975</v>
      </c>
      <c r="E135" t="s">
        <v>169</v>
      </c>
      <c r="F135" s="4">
        <v>45978</v>
      </c>
      <c r="H135" s="8">
        <v>45980</v>
      </c>
      <c r="I135" s="9">
        <v>0.24</v>
      </c>
      <c r="J135" s="4">
        <v>45982</v>
      </c>
      <c r="L135" s="4">
        <v>45985</v>
      </c>
      <c r="N135" s="4">
        <v>45987</v>
      </c>
      <c r="P135" s="4">
        <v>45989</v>
      </c>
      <c r="R135" s="4">
        <v>45991</v>
      </c>
      <c r="T135" s="4">
        <v>45992</v>
      </c>
      <c r="V135" s="4">
        <v>45993</v>
      </c>
      <c r="X135" s="4">
        <v>45994</v>
      </c>
      <c r="Z135" s="4">
        <v>45995</v>
      </c>
      <c r="AB135" s="4">
        <v>45996</v>
      </c>
      <c r="AD135" s="4">
        <v>45997</v>
      </c>
      <c r="AF135" s="4">
        <v>45998</v>
      </c>
      <c r="AH135" s="4">
        <v>45999</v>
      </c>
      <c r="AJ135" s="4">
        <v>46000</v>
      </c>
      <c r="AL135" s="4">
        <v>46001</v>
      </c>
      <c r="AN135" s="4">
        <v>46002</v>
      </c>
      <c r="AP135" s="4">
        <v>46003</v>
      </c>
      <c r="AR135" s="4">
        <v>46006</v>
      </c>
      <c r="AT135" s="4">
        <v>46007</v>
      </c>
      <c r="AV135" s="4">
        <v>46008</v>
      </c>
      <c r="AX135" s="4">
        <v>46009</v>
      </c>
      <c r="AZ135" s="4">
        <v>46010</v>
      </c>
      <c r="BB135" s="4">
        <v>46011</v>
      </c>
      <c r="BD135" s="4">
        <v>46012</v>
      </c>
    </row>
    <row r="136" spans="1:60" x14ac:dyDescent="0.3">
      <c r="A136" s="7" t="s">
        <v>227</v>
      </c>
      <c r="B136" s="3" t="s">
        <v>247</v>
      </c>
      <c r="C136" s="4">
        <v>45973</v>
      </c>
      <c r="D136" s="4">
        <v>45975</v>
      </c>
      <c r="E136" t="s">
        <v>278</v>
      </c>
      <c r="F136" s="4">
        <v>45978</v>
      </c>
      <c r="G136">
        <v>0.18</v>
      </c>
      <c r="H136" s="8">
        <v>45980</v>
      </c>
      <c r="I136" s="9">
        <v>0.18</v>
      </c>
      <c r="J136" s="4">
        <v>45982</v>
      </c>
      <c r="L136" s="4">
        <v>45985</v>
      </c>
      <c r="N136" s="4">
        <v>45987</v>
      </c>
      <c r="P136" s="4">
        <v>45989</v>
      </c>
      <c r="R136" s="4">
        <v>45991</v>
      </c>
      <c r="T136" s="4">
        <v>45992</v>
      </c>
      <c r="V136" s="4">
        <v>45993</v>
      </c>
      <c r="X136" s="4">
        <v>45994</v>
      </c>
      <c r="Z136" s="4">
        <v>45995</v>
      </c>
      <c r="AB136" s="4">
        <v>45996</v>
      </c>
      <c r="AD136" s="4">
        <v>45997</v>
      </c>
      <c r="AF136" s="4">
        <v>45998</v>
      </c>
      <c r="AH136" s="4">
        <v>45999</v>
      </c>
      <c r="AJ136" s="4">
        <v>46000</v>
      </c>
      <c r="AL136" s="4">
        <v>46001</v>
      </c>
      <c r="AN136" s="4">
        <v>46002</v>
      </c>
      <c r="AP136" s="4">
        <v>46003</v>
      </c>
      <c r="AR136" s="4">
        <v>46006</v>
      </c>
      <c r="AT136" s="4">
        <v>46007</v>
      </c>
      <c r="AV136" s="4">
        <v>46008</v>
      </c>
      <c r="AX136" s="4">
        <v>46009</v>
      </c>
      <c r="AZ136" s="4">
        <v>46010</v>
      </c>
      <c r="BB136" s="4">
        <v>46011</v>
      </c>
      <c r="BD136" s="4">
        <v>46012</v>
      </c>
    </row>
    <row r="137" spans="1:60" x14ac:dyDescent="0.3">
      <c r="A137" s="7" t="s">
        <v>228</v>
      </c>
      <c r="B137" s="3" t="s">
        <v>247</v>
      </c>
      <c r="C137" s="4">
        <v>45973</v>
      </c>
      <c r="D137" s="8">
        <v>45975</v>
      </c>
      <c r="E137" s="9">
        <v>0.24</v>
      </c>
      <c r="F137" s="4">
        <v>45978</v>
      </c>
      <c r="H137" s="4">
        <v>45980</v>
      </c>
      <c r="J137" s="4">
        <v>45982</v>
      </c>
      <c r="L137" s="4">
        <v>45985</v>
      </c>
      <c r="N137" s="4">
        <v>45987</v>
      </c>
      <c r="P137" s="4">
        <v>45989</v>
      </c>
      <c r="R137" s="4">
        <v>45991</v>
      </c>
      <c r="T137" s="4">
        <v>45992</v>
      </c>
      <c r="V137" s="4">
        <v>45993</v>
      </c>
      <c r="X137" s="4">
        <v>45994</v>
      </c>
      <c r="Z137" s="4">
        <v>45995</v>
      </c>
      <c r="AB137" s="4">
        <v>45996</v>
      </c>
      <c r="AD137" s="4">
        <v>45997</v>
      </c>
      <c r="AF137" s="4">
        <v>45998</v>
      </c>
      <c r="AH137" s="4">
        <v>45999</v>
      </c>
      <c r="AJ137" s="4">
        <v>46000</v>
      </c>
      <c r="AL137" s="4">
        <v>46001</v>
      </c>
      <c r="AN137" s="4">
        <v>46002</v>
      </c>
      <c r="AP137" s="4">
        <v>46003</v>
      </c>
      <c r="AR137" s="4">
        <v>46006</v>
      </c>
      <c r="AT137" s="4">
        <v>46007</v>
      </c>
      <c r="AV137" s="4">
        <v>46008</v>
      </c>
      <c r="AX137" s="4">
        <v>46009</v>
      </c>
      <c r="AZ137" s="4">
        <v>46010</v>
      </c>
      <c r="BB137" s="4">
        <v>46011</v>
      </c>
      <c r="BD137" s="4">
        <v>46012</v>
      </c>
    </row>
    <row r="138" spans="1:60" x14ac:dyDescent="0.3">
      <c r="A138" s="3" t="s">
        <v>229</v>
      </c>
      <c r="B138" s="3" t="s">
        <v>247</v>
      </c>
      <c r="C138" s="4">
        <v>45973</v>
      </c>
      <c r="D138" s="4">
        <v>45975</v>
      </c>
      <c r="E138" t="s">
        <v>169</v>
      </c>
      <c r="F138" s="4">
        <v>45978</v>
      </c>
      <c r="H138" s="4">
        <v>45980</v>
      </c>
      <c r="J138" s="4">
        <v>45982</v>
      </c>
      <c r="L138" s="4">
        <v>45985</v>
      </c>
      <c r="N138" s="4">
        <v>45987</v>
      </c>
      <c r="P138" s="4">
        <v>45989</v>
      </c>
      <c r="R138" s="4">
        <v>45991</v>
      </c>
      <c r="T138" s="4">
        <v>45992</v>
      </c>
      <c r="V138" s="4">
        <v>45993</v>
      </c>
      <c r="X138" s="4">
        <v>45994</v>
      </c>
      <c r="Z138" s="4">
        <v>45995</v>
      </c>
      <c r="AB138" s="4">
        <v>45996</v>
      </c>
      <c r="AD138" s="4">
        <v>45997</v>
      </c>
      <c r="AF138" s="4">
        <v>45998</v>
      </c>
      <c r="AH138" s="4">
        <v>45999</v>
      </c>
      <c r="AJ138" s="4">
        <v>46000</v>
      </c>
      <c r="AL138" s="4">
        <v>46001</v>
      </c>
      <c r="AN138" s="4">
        <v>46002</v>
      </c>
      <c r="AP138" s="4">
        <v>46003</v>
      </c>
      <c r="AR138" s="4">
        <v>46006</v>
      </c>
      <c r="AT138" s="4">
        <v>46007</v>
      </c>
      <c r="AV138" s="4">
        <v>46008</v>
      </c>
      <c r="AX138" s="4">
        <v>46009</v>
      </c>
      <c r="AZ138" s="4">
        <v>46010</v>
      </c>
      <c r="BB138" s="4">
        <v>46011</v>
      </c>
      <c r="BD138" s="4">
        <v>46012</v>
      </c>
    </row>
    <row r="139" spans="1:60" x14ac:dyDescent="0.3">
      <c r="A139" s="3" t="s">
        <v>230</v>
      </c>
      <c r="B139" s="3" t="s">
        <v>247</v>
      </c>
      <c r="C139" s="4">
        <v>45973</v>
      </c>
      <c r="D139" s="4">
        <v>45975</v>
      </c>
      <c r="E139" t="s">
        <v>169</v>
      </c>
      <c r="F139" s="4">
        <v>45978</v>
      </c>
      <c r="H139" s="4">
        <v>45980</v>
      </c>
      <c r="J139" s="4">
        <v>45982</v>
      </c>
      <c r="L139" s="4">
        <v>45985</v>
      </c>
      <c r="N139" s="4">
        <v>45987</v>
      </c>
      <c r="P139" s="4">
        <v>45989</v>
      </c>
      <c r="R139" s="4">
        <v>45991</v>
      </c>
      <c r="T139" s="4">
        <v>45992</v>
      </c>
      <c r="V139" s="4">
        <v>45993</v>
      </c>
      <c r="X139" s="4">
        <v>45994</v>
      </c>
      <c r="Z139" s="4">
        <v>45995</v>
      </c>
      <c r="AB139" s="4">
        <v>45996</v>
      </c>
      <c r="AD139" s="4">
        <v>45997</v>
      </c>
      <c r="AF139" s="4">
        <v>45998</v>
      </c>
      <c r="AH139" s="4">
        <v>45999</v>
      </c>
      <c r="AJ139" s="4">
        <v>46000</v>
      </c>
      <c r="AL139" s="4">
        <v>46001</v>
      </c>
      <c r="AN139" s="4">
        <v>46002</v>
      </c>
      <c r="AP139" s="4">
        <v>46003</v>
      </c>
      <c r="AR139" s="4">
        <v>46006</v>
      </c>
      <c r="AT139" s="4">
        <v>46007</v>
      </c>
      <c r="AV139" s="4">
        <v>46008</v>
      </c>
      <c r="AX139" s="4">
        <v>46009</v>
      </c>
      <c r="AZ139" s="4">
        <v>46010</v>
      </c>
      <c r="BB139" s="4">
        <v>46011</v>
      </c>
      <c r="BD139" s="4">
        <v>46012</v>
      </c>
    </row>
    <row r="140" spans="1:60" x14ac:dyDescent="0.3">
      <c r="A140" s="3" t="s">
        <v>231</v>
      </c>
      <c r="B140" s="3" t="s">
        <v>247</v>
      </c>
      <c r="C140" s="4">
        <v>45973</v>
      </c>
      <c r="D140" s="4">
        <v>45975</v>
      </c>
      <c r="E140" t="s">
        <v>278</v>
      </c>
      <c r="F140" s="4">
        <v>45978</v>
      </c>
      <c r="H140" s="4">
        <v>45980</v>
      </c>
      <c r="J140" s="4">
        <v>45982</v>
      </c>
      <c r="L140" s="4">
        <v>45985</v>
      </c>
      <c r="N140" s="4">
        <v>45987</v>
      </c>
      <c r="P140" s="4">
        <v>45989</v>
      </c>
      <c r="R140" s="4">
        <v>45991</v>
      </c>
      <c r="T140" s="4">
        <v>45992</v>
      </c>
      <c r="V140" s="4">
        <v>45993</v>
      </c>
      <c r="X140" s="4">
        <v>45994</v>
      </c>
      <c r="Z140" s="4">
        <v>45995</v>
      </c>
      <c r="AB140" s="4">
        <v>45996</v>
      </c>
      <c r="AD140" s="4">
        <v>45997</v>
      </c>
      <c r="AF140" s="4">
        <v>45998</v>
      </c>
      <c r="AH140" s="4">
        <v>45999</v>
      </c>
      <c r="AJ140" s="4">
        <v>46000</v>
      </c>
      <c r="AL140" s="4">
        <v>46001</v>
      </c>
      <c r="AN140" s="4">
        <v>46002</v>
      </c>
      <c r="AP140" s="4">
        <v>46003</v>
      </c>
      <c r="AR140" s="4">
        <v>46006</v>
      </c>
      <c r="AT140" s="4">
        <v>46007</v>
      </c>
      <c r="AV140" s="4">
        <v>46008</v>
      </c>
      <c r="AX140" s="4">
        <v>46009</v>
      </c>
      <c r="AZ140" s="4">
        <v>46010</v>
      </c>
      <c r="BB140" s="4">
        <v>46011</v>
      </c>
      <c r="BD140" s="4">
        <v>46012</v>
      </c>
    </row>
    <row r="141" spans="1:60" x14ac:dyDescent="0.3">
      <c r="A141" s="7" t="s">
        <v>232</v>
      </c>
      <c r="B141" s="3" t="s">
        <v>247</v>
      </c>
      <c r="C141" s="4">
        <v>45973</v>
      </c>
      <c r="D141" s="8">
        <v>45975</v>
      </c>
      <c r="E141" s="9">
        <v>0.3</v>
      </c>
      <c r="F141" s="4">
        <v>45978</v>
      </c>
      <c r="H141" s="4">
        <v>45980</v>
      </c>
      <c r="J141" s="4">
        <v>45982</v>
      </c>
      <c r="L141" s="4">
        <v>45985</v>
      </c>
      <c r="N141" s="4">
        <v>45987</v>
      </c>
      <c r="P141" s="4">
        <v>45989</v>
      </c>
      <c r="R141" s="4">
        <v>45991</v>
      </c>
      <c r="T141" s="4">
        <v>45992</v>
      </c>
      <c r="V141" s="4">
        <v>45993</v>
      </c>
      <c r="X141" s="4">
        <v>45994</v>
      </c>
      <c r="Z141" s="4">
        <v>45995</v>
      </c>
      <c r="AB141" s="4">
        <v>45996</v>
      </c>
      <c r="AD141" s="4">
        <v>45997</v>
      </c>
      <c r="AF141" s="4">
        <v>45998</v>
      </c>
      <c r="AH141" s="4">
        <v>45999</v>
      </c>
      <c r="AJ141" s="4">
        <v>46000</v>
      </c>
      <c r="AL141" s="4">
        <v>46001</v>
      </c>
      <c r="AN141" s="4">
        <v>46002</v>
      </c>
      <c r="AP141" s="4">
        <v>46003</v>
      </c>
      <c r="AR141" s="4">
        <v>46006</v>
      </c>
      <c r="AT141" s="4">
        <v>46007</v>
      </c>
      <c r="AV141" s="4">
        <v>46008</v>
      </c>
      <c r="AX141" s="4">
        <v>46009</v>
      </c>
      <c r="AZ141" s="4">
        <v>46010</v>
      </c>
      <c r="BB141" s="4">
        <v>46011</v>
      </c>
      <c r="BD141" s="4">
        <v>46012</v>
      </c>
    </row>
    <row r="142" spans="1:60" x14ac:dyDescent="0.3">
      <c r="A142" s="3" t="s">
        <v>233</v>
      </c>
      <c r="B142" s="3" t="s">
        <v>247</v>
      </c>
      <c r="C142" s="4">
        <v>45973</v>
      </c>
      <c r="D142" s="4">
        <v>45975</v>
      </c>
      <c r="E142" t="s">
        <v>169</v>
      </c>
      <c r="F142" s="4">
        <v>45978</v>
      </c>
      <c r="H142" s="4">
        <v>45980</v>
      </c>
      <c r="J142" s="4">
        <v>45982</v>
      </c>
      <c r="L142" s="4">
        <v>45985</v>
      </c>
      <c r="N142" s="4">
        <v>45987</v>
      </c>
      <c r="P142" s="4">
        <v>45989</v>
      </c>
      <c r="R142" s="4">
        <v>45991</v>
      </c>
      <c r="T142" s="4">
        <v>45992</v>
      </c>
      <c r="V142" s="4">
        <v>45993</v>
      </c>
      <c r="X142" s="4">
        <v>45994</v>
      </c>
      <c r="Z142" s="4">
        <v>45995</v>
      </c>
      <c r="AB142" s="4">
        <v>45996</v>
      </c>
      <c r="AD142" s="4">
        <v>45997</v>
      </c>
      <c r="AF142" s="4">
        <v>45998</v>
      </c>
      <c r="AH142" s="4">
        <v>45999</v>
      </c>
      <c r="AJ142" s="4">
        <v>46000</v>
      </c>
      <c r="AL142" s="4">
        <v>46001</v>
      </c>
      <c r="AN142" s="4">
        <v>46002</v>
      </c>
      <c r="AP142" s="4">
        <v>46003</v>
      </c>
      <c r="AR142" s="4">
        <v>46006</v>
      </c>
      <c r="AT142" s="4">
        <v>46007</v>
      </c>
      <c r="AV142" s="4">
        <v>46008</v>
      </c>
      <c r="AX142" s="4">
        <v>46009</v>
      </c>
      <c r="AZ142" s="4">
        <v>46010</v>
      </c>
      <c r="BB142" s="4">
        <v>46011</v>
      </c>
      <c r="BD142" s="4">
        <v>46012</v>
      </c>
      <c r="BH142" t="s">
        <v>282</v>
      </c>
    </row>
    <row r="143" spans="1:60" x14ac:dyDescent="0.3">
      <c r="A143" s="17" t="s">
        <v>234</v>
      </c>
      <c r="B143" s="3" t="s">
        <v>247</v>
      </c>
      <c r="C143" s="4">
        <v>45973</v>
      </c>
      <c r="D143" s="4">
        <v>45975</v>
      </c>
      <c r="E143" t="s">
        <v>169</v>
      </c>
      <c r="F143" s="4">
        <v>45978</v>
      </c>
      <c r="G143">
        <v>0.24</v>
      </c>
      <c r="H143" s="4">
        <v>45980</v>
      </c>
      <c r="I143">
        <v>0.42</v>
      </c>
      <c r="J143" s="4">
        <v>45982</v>
      </c>
      <c r="K143">
        <v>0.42</v>
      </c>
      <c r="L143" s="4">
        <v>45985</v>
      </c>
      <c r="M143">
        <v>0.42</v>
      </c>
      <c r="N143" s="4">
        <v>45987</v>
      </c>
      <c r="O143">
        <v>0.66</v>
      </c>
      <c r="P143" s="4">
        <v>45989</v>
      </c>
      <c r="Q143">
        <v>0.66</v>
      </c>
      <c r="R143" s="4">
        <v>45991</v>
      </c>
      <c r="T143" s="4">
        <v>45992</v>
      </c>
      <c r="U143">
        <v>0.66</v>
      </c>
      <c r="V143" s="4">
        <v>45993</v>
      </c>
      <c r="X143" s="4">
        <v>45994</v>
      </c>
      <c r="Y143" t="s">
        <v>69</v>
      </c>
      <c r="Z143" s="4">
        <v>45995</v>
      </c>
      <c r="AB143" s="4">
        <v>45996</v>
      </c>
      <c r="AD143" s="4">
        <v>45997</v>
      </c>
      <c r="AF143" s="4">
        <v>45998</v>
      </c>
      <c r="AH143" s="4">
        <v>45999</v>
      </c>
      <c r="AI143" s="5" t="s">
        <v>279</v>
      </c>
      <c r="AJ143" s="4">
        <v>46000</v>
      </c>
      <c r="AL143" s="4">
        <v>46001</v>
      </c>
      <c r="AN143" s="13">
        <v>46002</v>
      </c>
      <c r="AO143" s="5" t="s">
        <v>75</v>
      </c>
      <c r="AP143" s="4">
        <v>46003</v>
      </c>
      <c r="AR143" s="4">
        <v>46006</v>
      </c>
      <c r="AT143" s="4">
        <v>46007</v>
      </c>
      <c r="AV143" s="4">
        <v>46008</v>
      </c>
      <c r="AX143" s="4">
        <v>46009</v>
      </c>
      <c r="AZ143" s="4">
        <v>46010</v>
      </c>
      <c r="BB143" s="4">
        <v>46011</v>
      </c>
      <c r="BD143" s="4">
        <v>46012</v>
      </c>
      <c r="BH143" t="s">
        <v>153</v>
      </c>
    </row>
    <row r="144" spans="1:60" x14ac:dyDescent="0.3">
      <c r="A144" s="3" t="s">
        <v>235</v>
      </c>
      <c r="B144" s="3" t="s">
        <v>247</v>
      </c>
      <c r="C144" s="4">
        <v>45973</v>
      </c>
      <c r="D144" s="4">
        <v>45975</v>
      </c>
      <c r="E144" t="s">
        <v>278</v>
      </c>
      <c r="F144" s="4">
        <v>45978</v>
      </c>
      <c r="G144">
        <v>0.24</v>
      </c>
      <c r="H144" s="4">
        <v>45980</v>
      </c>
      <c r="I144">
        <v>0.24</v>
      </c>
      <c r="J144" s="4">
        <v>45982</v>
      </c>
      <c r="L144" s="4">
        <v>45985</v>
      </c>
      <c r="N144" s="4">
        <v>45987</v>
      </c>
      <c r="P144" s="4">
        <v>45989</v>
      </c>
      <c r="R144" s="4">
        <v>45991</v>
      </c>
      <c r="T144" s="4">
        <v>45992</v>
      </c>
      <c r="V144" s="4">
        <v>45993</v>
      </c>
      <c r="X144" s="4">
        <v>45994</v>
      </c>
      <c r="Z144" s="4">
        <v>45995</v>
      </c>
      <c r="AB144" s="4">
        <v>45996</v>
      </c>
      <c r="AD144" s="4">
        <v>45997</v>
      </c>
      <c r="AF144" s="4">
        <v>45998</v>
      </c>
      <c r="AH144" s="4">
        <v>45999</v>
      </c>
      <c r="AJ144" s="4">
        <v>46000</v>
      </c>
      <c r="AL144" s="4">
        <v>46001</v>
      </c>
      <c r="AN144" s="4">
        <v>46002</v>
      </c>
      <c r="AP144" s="4">
        <v>46003</v>
      </c>
      <c r="AR144" s="4">
        <v>46006</v>
      </c>
      <c r="AT144" s="4">
        <v>46007</v>
      </c>
      <c r="AV144" s="4">
        <v>46008</v>
      </c>
      <c r="AX144" s="4">
        <v>46009</v>
      </c>
      <c r="AZ144" s="4">
        <v>46010</v>
      </c>
      <c r="BB144" s="4">
        <v>46011</v>
      </c>
      <c r="BD144" s="4">
        <v>46012</v>
      </c>
      <c r="BH144" t="s">
        <v>276</v>
      </c>
    </row>
    <row r="145" spans="1:60" x14ac:dyDescent="0.3">
      <c r="A145" s="7" t="s">
        <v>236</v>
      </c>
      <c r="B145" s="3" t="s">
        <v>247</v>
      </c>
      <c r="C145" s="4">
        <v>45973</v>
      </c>
      <c r="D145" s="8">
        <v>45975</v>
      </c>
      <c r="E145" s="9">
        <v>0.3</v>
      </c>
      <c r="F145" s="4">
        <v>45978</v>
      </c>
      <c r="H145" s="4">
        <v>45980</v>
      </c>
      <c r="J145" s="4">
        <v>45982</v>
      </c>
      <c r="L145" s="4">
        <v>45985</v>
      </c>
      <c r="N145" s="4">
        <v>45987</v>
      </c>
      <c r="P145" s="4">
        <v>45989</v>
      </c>
      <c r="R145" s="4">
        <v>45991</v>
      </c>
      <c r="T145" s="4">
        <v>45992</v>
      </c>
      <c r="V145" s="4">
        <v>45993</v>
      </c>
      <c r="X145" s="4">
        <v>45994</v>
      </c>
      <c r="Z145" s="4">
        <v>45995</v>
      </c>
      <c r="AB145" s="4">
        <v>45996</v>
      </c>
      <c r="AD145" s="4">
        <v>45997</v>
      </c>
      <c r="AF145" s="4">
        <v>45998</v>
      </c>
      <c r="AH145" s="4">
        <v>45999</v>
      </c>
      <c r="AJ145" s="4">
        <v>46000</v>
      </c>
      <c r="AL145" s="4">
        <v>46001</v>
      </c>
      <c r="AN145" s="4">
        <v>46002</v>
      </c>
      <c r="AP145" s="4">
        <v>46003</v>
      </c>
      <c r="AR145" s="4">
        <v>46006</v>
      </c>
      <c r="AT145" s="4">
        <v>46007</v>
      </c>
      <c r="AV145" s="4">
        <v>46008</v>
      </c>
      <c r="AX145" s="4">
        <v>46009</v>
      </c>
      <c r="AZ145" s="4">
        <v>46010</v>
      </c>
      <c r="BB145" s="4">
        <v>46011</v>
      </c>
      <c r="BD145" s="4">
        <v>46012</v>
      </c>
      <c r="BH145" t="s">
        <v>276</v>
      </c>
    </row>
    <row r="146" spans="1:60" x14ac:dyDescent="0.3">
      <c r="A146" s="6" t="s">
        <v>237</v>
      </c>
      <c r="B146" s="3" t="s">
        <v>247</v>
      </c>
      <c r="C146" s="4">
        <v>45973</v>
      </c>
      <c r="D146" s="4">
        <v>45975</v>
      </c>
      <c r="E146" t="s">
        <v>278</v>
      </c>
      <c r="F146" s="4">
        <v>45978</v>
      </c>
      <c r="G146">
        <v>0.24</v>
      </c>
      <c r="H146" s="4">
        <v>45980</v>
      </c>
      <c r="I146">
        <v>0.24</v>
      </c>
      <c r="J146" s="4">
        <v>45982</v>
      </c>
      <c r="L146" s="4">
        <v>45985</v>
      </c>
      <c r="N146" s="4">
        <v>45987</v>
      </c>
      <c r="P146" s="4">
        <v>45989</v>
      </c>
      <c r="Q146">
        <v>0.42</v>
      </c>
      <c r="R146" s="4">
        <v>45991</v>
      </c>
      <c r="T146" s="4">
        <v>45992</v>
      </c>
      <c r="U146">
        <v>0.42</v>
      </c>
      <c r="V146" s="4">
        <v>45993</v>
      </c>
      <c r="X146" s="4">
        <v>45994</v>
      </c>
      <c r="Z146" s="4">
        <v>45995</v>
      </c>
      <c r="AB146" s="4">
        <v>45996</v>
      </c>
      <c r="AC146">
        <v>0.6</v>
      </c>
      <c r="AD146" s="4">
        <v>45997</v>
      </c>
      <c r="AF146" s="4">
        <v>45998</v>
      </c>
      <c r="AH146" s="4">
        <v>45999</v>
      </c>
      <c r="AI146">
        <v>0.6</v>
      </c>
      <c r="AJ146" s="4">
        <v>46000</v>
      </c>
      <c r="AL146" s="4">
        <v>46001</v>
      </c>
      <c r="AM146">
        <v>0.6</v>
      </c>
      <c r="AN146" s="4">
        <v>46002</v>
      </c>
      <c r="AP146" s="4">
        <v>46003</v>
      </c>
      <c r="AQ146">
        <v>0.6</v>
      </c>
      <c r="AR146" s="4">
        <v>46006</v>
      </c>
      <c r="AS146">
        <v>0.6</v>
      </c>
      <c r="AT146" s="4">
        <v>46007</v>
      </c>
      <c r="AV146" s="4">
        <v>46008</v>
      </c>
      <c r="AW146" t="s">
        <v>69</v>
      </c>
      <c r="AX146" s="4">
        <v>46009</v>
      </c>
      <c r="AY146" t="s">
        <v>295</v>
      </c>
      <c r="AZ146" s="4">
        <v>46010</v>
      </c>
      <c r="BA146" t="s">
        <v>69</v>
      </c>
      <c r="BB146" s="4">
        <v>46011</v>
      </c>
      <c r="BD146" s="13">
        <v>46012</v>
      </c>
      <c r="BE146" s="5" t="s">
        <v>70</v>
      </c>
      <c r="BF146" s="13">
        <v>46017</v>
      </c>
      <c r="BG146" s="5" t="s">
        <v>177</v>
      </c>
      <c r="BH146" t="s">
        <v>153</v>
      </c>
    </row>
    <row r="147" spans="1:60" x14ac:dyDescent="0.3">
      <c r="A147" s="7" t="s">
        <v>238</v>
      </c>
      <c r="B147" s="3" t="s">
        <v>247</v>
      </c>
      <c r="C147" s="4">
        <v>45973</v>
      </c>
      <c r="D147" s="4">
        <v>45975</v>
      </c>
      <c r="E147" t="s">
        <v>278</v>
      </c>
      <c r="F147" s="8">
        <v>45978</v>
      </c>
      <c r="G147" s="9">
        <v>0.24</v>
      </c>
      <c r="H147" s="4">
        <v>45980</v>
      </c>
      <c r="J147" s="4">
        <v>45982</v>
      </c>
      <c r="L147" s="4">
        <v>45985</v>
      </c>
      <c r="N147" s="4">
        <v>45987</v>
      </c>
      <c r="P147" s="4">
        <v>45989</v>
      </c>
      <c r="R147" s="4">
        <v>45991</v>
      </c>
      <c r="T147" s="4">
        <v>45992</v>
      </c>
      <c r="V147" s="4">
        <v>45993</v>
      </c>
      <c r="X147" s="4">
        <v>45994</v>
      </c>
      <c r="Z147" s="4">
        <v>45995</v>
      </c>
      <c r="AB147" s="4">
        <v>45996</v>
      </c>
      <c r="AD147" s="4">
        <v>45997</v>
      </c>
      <c r="AF147" s="4">
        <v>45998</v>
      </c>
      <c r="AH147" s="4">
        <v>45999</v>
      </c>
      <c r="AJ147" s="4">
        <v>46000</v>
      </c>
      <c r="AL147" s="4">
        <v>46001</v>
      </c>
      <c r="AN147" s="4">
        <v>46002</v>
      </c>
      <c r="AP147" s="4">
        <v>46003</v>
      </c>
      <c r="AR147" s="4">
        <v>46006</v>
      </c>
      <c r="AT147" s="4">
        <v>46007</v>
      </c>
      <c r="AV147" s="4">
        <v>46008</v>
      </c>
      <c r="AX147" s="4">
        <v>46009</v>
      </c>
      <c r="AZ147" s="4">
        <v>46010</v>
      </c>
      <c r="BB147" s="4">
        <v>46011</v>
      </c>
      <c r="BD147" s="4">
        <v>46012</v>
      </c>
      <c r="BH147" t="s">
        <v>161</v>
      </c>
    </row>
    <row r="148" spans="1:60" x14ac:dyDescent="0.3">
      <c r="A148" s="7" t="s">
        <v>239</v>
      </c>
      <c r="B148" s="3" t="s">
        <v>247</v>
      </c>
      <c r="C148" s="4">
        <v>45973</v>
      </c>
      <c r="D148" s="4">
        <v>45975</v>
      </c>
      <c r="E148" t="s">
        <v>278</v>
      </c>
      <c r="F148" s="4">
        <v>45978</v>
      </c>
      <c r="H148" s="8">
        <v>45980</v>
      </c>
      <c r="I148" s="9">
        <v>0.24</v>
      </c>
      <c r="J148" s="4">
        <v>45982</v>
      </c>
      <c r="L148" s="4">
        <v>45985</v>
      </c>
      <c r="N148" s="4">
        <v>45987</v>
      </c>
      <c r="P148" s="4">
        <v>45989</v>
      </c>
      <c r="R148" s="4">
        <v>45991</v>
      </c>
      <c r="T148" s="4">
        <v>45992</v>
      </c>
      <c r="V148" s="4">
        <v>45993</v>
      </c>
      <c r="X148" s="4">
        <v>45994</v>
      </c>
      <c r="Z148" s="4">
        <v>45995</v>
      </c>
      <c r="AB148" s="4">
        <v>45996</v>
      </c>
      <c r="AD148" s="4">
        <v>45997</v>
      </c>
      <c r="AF148" s="4">
        <v>45998</v>
      </c>
      <c r="AH148" s="4">
        <v>45999</v>
      </c>
      <c r="AJ148" s="4">
        <v>46000</v>
      </c>
      <c r="AL148" s="4">
        <v>46001</v>
      </c>
      <c r="AN148" s="4">
        <v>46002</v>
      </c>
      <c r="AP148" s="4">
        <v>46003</v>
      </c>
      <c r="AR148" s="4">
        <v>46006</v>
      </c>
      <c r="AT148" s="4">
        <v>46007</v>
      </c>
      <c r="AV148" s="4">
        <v>46008</v>
      </c>
      <c r="AX148" s="4">
        <v>46009</v>
      </c>
      <c r="AZ148" s="4">
        <v>46010</v>
      </c>
      <c r="BB148" s="4">
        <v>46011</v>
      </c>
      <c r="BD148" s="4">
        <v>46012</v>
      </c>
      <c r="BH148" t="s">
        <v>153</v>
      </c>
    </row>
    <row r="149" spans="1:60" x14ac:dyDescent="0.3">
      <c r="A149" s="6" t="s">
        <v>240</v>
      </c>
      <c r="B149" s="3" t="s">
        <v>247</v>
      </c>
      <c r="C149" s="4">
        <v>45973</v>
      </c>
      <c r="D149" s="4">
        <v>45975</v>
      </c>
      <c r="E149" t="s">
        <v>169</v>
      </c>
      <c r="F149" s="4">
        <v>45978</v>
      </c>
      <c r="G149" s="15">
        <v>0.42</v>
      </c>
      <c r="H149" s="4">
        <v>45980</v>
      </c>
      <c r="I149">
        <v>0.42</v>
      </c>
      <c r="J149" s="4">
        <v>45982</v>
      </c>
      <c r="K149">
        <v>0.66</v>
      </c>
      <c r="L149" s="4">
        <v>45985</v>
      </c>
      <c r="M149">
        <v>0.66</v>
      </c>
      <c r="N149" s="4">
        <v>45987</v>
      </c>
      <c r="O149" t="s">
        <v>69</v>
      </c>
      <c r="P149" s="13">
        <v>45989</v>
      </c>
      <c r="Q149" s="5" t="s">
        <v>70</v>
      </c>
      <c r="R149" s="4">
        <v>45991</v>
      </c>
      <c r="T149" s="4">
        <v>45992</v>
      </c>
      <c r="V149" s="4">
        <v>45993</v>
      </c>
      <c r="X149" s="13">
        <v>45994</v>
      </c>
      <c r="Y149" s="5" t="s">
        <v>75</v>
      </c>
      <c r="Z149" s="4">
        <v>45995</v>
      </c>
      <c r="AB149" s="4">
        <v>45996</v>
      </c>
      <c r="AD149" s="4">
        <v>45997</v>
      </c>
      <c r="AF149" s="4">
        <v>45998</v>
      </c>
      <c r="AH149" s="4">
        <v>45999</v>
      </c>
      <c r="AJ149" s="4">
        <v>46000</v>
      </c>
      <c r="AL149" s="4">
        <v>46001</v>
      </c>
      <c r="AN149" s="4">
        <v>46002</v>
      </c>
      <c r="AP149" s="4">
        <v>46003</v>
      </c>
      <c r="AR149" s="4">
        <v>46006</v>
      </c>
      <c r="AT149" s="4">
        <v>46007</v>
      </c>
      <c r="AV149" s="4">
        <v>46008</v>
      </c>
      <c r="AX149" s="4">
        <v>46009</v>
      </c>
      <c r="AZ149" s="4">
        <v>46010</v>
      </c>
      <c r="BB149" s="4">
        <v>46011</v>
      </c>
      <c r="BD149" s="4">
        <v>46012</v>
      </c>
      <c r="BH149" t="s">
        <v>161</v>
      </c>
    </row>
    <row r="150" spans="1:60" x14ac:dyDescent="0.3">
      <c r="A150" s="3" t="s">
        <v>241</v>
      </c>
      <c r="B150" s="3" t="s">
        <v>247</v>
      </c>
      <c r="C150" s="4">
        <v>45973</v>
      </c>
      <c r="D150" s="4">
        <v>45975</v>
      </c>
      <c r="E150" t="s">
        <v>278</v>
      </c>
      <c r="F150" s="4">
        <v>45978</v>
      </c>
      <c r="H150" s="4">
        <v>45980</v>
      </c>
      <c r="J150" s="4">
        <v>45982</v>
      </c>
      <c r="L150" s="4">
        <v>45985</v>
      </c>
      <c r="N150" s="4">
        <v>45987</v>
      </c>
      <c r="P150" s="4">
        <v>45989</v>
      </c>
      <c r="R150" s="4">
        <v>45991</v>
      </c>
      <c r="T150" s="4">
        <v>45992</v>
      </c>
      <c r="V150" s="4">
        <v>45993</v>
      </c>
      <c r="X150" s="4">
        <v>45994</v>
      </c>
      <c r="Z150" s="4">
        <v>45995</v>
      </c>
      <c r="AB150" s="4">
        <v>45996</v>
      </c>
      <c r="AD150" s="4">
        <v>45997</v>
      </c>
      <c r="AF150" s="4">
        <v>45998</v>
      </c>
      <c r="AH150" s="4">
        <v>45999</v>
      </c>
      <c r="AJ150" s="4">
        <v>46000</v>
      </c>
      <c r="AL150" s="4">
        <v>46001</v>
      </c>
      <c r="AN150" s="4">
        <v>46002</v>
      </c>
      <c r="AP150" s="4">
        <v>46003</v>
      </c>
      <c r="AR150" s="4">
        <v>46006</v>
      </c>
      <c r="AT150" s="4">
        <v>46007</v>
      </c>
      <c r="AV150" s="4">
        <v>46008</v>
      </c>
      <c r="AX150" s="4">
        <v>46009</v>
      </c>
      <c r="AZ150" s="4">
        <v>46010</v>
      </c>
      <c r="BB150" s="4">
        <v>46011</v>
      </c>
      <c r="BD150" s="4">
        <v>46012</v>
      </c>
      <c r="BH150" t="s">
        <v>161</v>
      </c>
    </row>
    <row r="151" spans="1:60" x14ac:dyDescent="0.3">
      <c r="A151" s="6" t="s">
        <v>242</v>
      </c>
      <c r="B151" s="3" t="s">
        <v>247</v>
      </c>
      <c r="C151" s="4">
        <v>45973</v>
      </c>
      <c r="D151" s="4">
        <v>45975</v>
      </c>
      <c r="E151" t="s">
        <v>278</v>
      </c>
      <c r="F151" s="4">
        <v>45978</v>
      </c>
      <c r="G151">
        <v>0.24</v>
      </c>
      <c r="H151" s="4">
        <v>45980</v>
      </c>
      <c r="I151">
        <v>0.24</v>
      </c>
      <c r="J151" s="4">
        <v>45982</v>
      </c>
      <c r="L151" s="4">
        <v>45985</v>
      </c>
      <c r="N151" s="4">
        <v>45987</v>
      </c>
      <c r="P151" s="4">
        <v>45989</v>
      </c>
      <c r="Q151">
        <v>0.42</v>
      </c>
      <c r="R151" s="4">
        <v>45991</v>
      </c>
      <c r="T151" s="4">
        <v>45992</v>
      </c>
      <c r="U151" t="s">
        <v>69</v>
      </c>
      <c r="V151" s="4">
        <v>45993</v>
      </c>
      <c r="X151" s="4">
        <v>45994</v>
      </c>
      <c r="Z151" s="4">
        <v>45995</v>
      </c>
      <c r="AB151" s="4">
        <v>45996</v>
      </c>
      <c r="AD151" s="4">
        <v>45997</v>
      </c>
      <c r="AF151" s="4">
        <v>45998</v>
      </c>
      <c r="AH151" s="4">
        <v>45999</v>
      </c>
      <c r="AI151" t="s">
        <v>69</v>
      </c>
      <c r="AJ151" s="4">
        <v>46000</v>
      </c>
      <c r="AL151" s="4">
        <v>46001</v>
      </c>
      <c r="AN151" s="4">
        <v>46002</v>
      </c>
      <c r="AP151" s="4">
        <v>46003</v>
      </c>
      <c r="AQ151" t="s">
        <v>69</v>
      </c>
      <c r="AR151" s="13">
        <v>46006</v>
      </c>
      <c r="AS151" s="5" t="s">
        <v>70</v>
      </c>
      <c r="AT151" s="4">
        <v>46007</v>
      </c>
      <c r="AV151" s="4">
        <v>46008</v>
      </c>
      <c r="AX151" s="4">
        <v>46009</v>
      </c>
      <c r="AZ151" s="4">
        <v>46010</v>
      </c>
      <c r="BB151" s="4">
        <v>46011</v>
      </c>
      <c r="BD151" s="13">
        <v>46012</v>
      </c>
      <c r="BE151" s="5" t="s">
        <v>177</v>
      </c>
      <c r="BH151" t="s">
        <v>276</v>
      </c>
    </row>
    <row r="152" spans="1:60" x14ac:dyDescent="0.3">
      <c r="A152" s="7" t="s">
        <v>243</v>
      </c>
      <c r="B152" s="3" t="s">
        <v>247</v>
      </c>
      <c r="C152" s="4">
        <v>45973</v>
      </c>
      <c r="D152" s="4">
        <v>45975</v>
      </c>
      <c r="E152" t="s">
        <v>169</v>
      </c>
      <c r="F152" s="4">
        <v>45978</v>
      </c>
      <c r="H152" s="4">
        <v>45980</v>
      </c>
      <c r="J152" s="4">
        <v>45982</v>
      </c>
      <c r="L152" s="8">
        <v>45985</v>
      </c>
      <c r="M152" s="9">
        <v>0.36</v>
      </c>
      <c r="N152" s="4">
        <v>45987</v>
      </c>
      <c r="P152" s="4">
        <v>45989</v>
      </c>
      <c r="R152" s="4">
        <v>45991</v>
      </c>
      <c r="T152" s="4">
        <v>45992</v>
      </c>
      <c r="V152" s="4">
        <v>45993</v>
      </c>
      <c r="X152" s="4">
        <v>45994</v>
      </c>
      <c r="Z152" s="4">
        <v>45995</v>
      </c>
      <c r="AB152" s="4">
        <v>45996</v>
      </c>
      <c r="AD152" s="4">
        <v>45997</v>
      </c>
      <c r="AF152" s="4">
        <v>45998</v>
      </c>
      <c r="AH152" s="4">
        <v>45999</v>
      </c>
      <c r="AJ152" s="4">
        <v>46000</v>
      </c>
      <c r="AL152" s="4">
        <v>46001</v>
      </c>
      <c r="AN152" s="4">
        <v>46002</v>
      </c>
      <c r="AP152" s="4">
        <v>46003</v>
      </c>
      <c r="AR152" s="4">
        <v>46006</v>
      </c>
      <c r="AT152" s="4">
        <v>46007</v>
      </c>
      <c r="AV152" s="4">
        <v>46008</v>
      </c>
      <c r="AX152" s="4">
        <v>46009</v>
      </c>
      <c r="AZ152" s="4">
        <v>46010</v>
      </c>
      <c r="BB152" s="4">
        <v>46011</v>
      </c>
      <c r="BD152" s="4">
        <v>46012</v>
      </c>
      <c r="BH152" t="s">
        <v>153</v>
      </c>
    </row>
    <row r="153" spans="1:60" x14ac:dyDescent="0.3">
      <c r="A153" s="7" t="s">
        <v>244</v>
      </c>
      <c r="B153" s="3" t="s">
        <v>247</v>
      </c>
      <c r="C153" s="4">
        <v>45973</v>
      </c>
      <c r="D153" s="8">
        <v>45975</v>
      </c>
      <c r="E153" s="9">
        <v>0.3</v>
      </c>
      <c r="F153" s="4">
        <v>45978</v>
      </c>
      <c r="H153" s="4">
        <v>45980</v>
      </c>
      <c r="J153" s="4">
        <v>45982</v>
      </c>
      <c r="L153" s="4">
        <v>45985</v>
      </c>
      <c r="N153" s="4">
        <v>45987</v>
      </c>
      <c r="P153" s="4">
        <v>45989</v>
      </c>
      <c r="R153" s="4">
        <v>45991</v>
      </c>
      <c r="T153" s="4">
        <v>45992</v>
      </c>
      <c r="V153" s="4">
        <v>45993</v>
      </c>
      <c r="X153" s="4">
        <v>45994</v>
      </c>
      <c r="Z153" s="4">
        <v>45995</v>
      </c>
      <c r="AB153" s="4">
        <v>45996</v>
      </c>
      <c r="AD153" s="4">
        <v>45997</v>
      </c>
      <c r="AF153" s="4">
        <v>45998</v>
      </c>
      <c r="AH153" s="4">
        <v>45999</v>
      </c>
      <c r="AJ153" s="4">
        <v>46000</v>
      </c>
      <c r="AL153" s="4">
        <v>46001</v>
      </c>
      <c r="AN153" s="4">
        <v>46002</v>
      </c>
      <c r="AP153" s="4">
        <v>46003</v>
      </c>
      <c r="AR153" s="4">
        <v>46006</v>
      </c>
      <c r="AT153" s="4">
        <v>46007</v>
      </c>
      <c r="AV153" s="4">
        <v>46008</v>
      </c>
      <c r="AX153" s="4">
        <v>46009</v>
      </c>
      <c r="AZ153" s="4">
        <v>46010</v>
      </c>
      <c r="BB153" s="4">
        <v>46011</v>
      </c>
      <c r="BD153" s="4">
        <v>46012</v>
      </c>
      <c r="BH153" t="s">
        <v>161</v>
      </c>
    </row>
    <row r="154" spans="1:60" x14ac:dyDescent="0.3">
      <c r="A154" s="3" t="s">
        <v>245</v>
      </c>
      <c r="B154" s="3" t="s">
        <v>247</v>
      </c>
      <c r="C154" s="4">
        <v>45973</v>
      </c>
      <c r="D154" s="4">
        <v>45975</v>
      </c>
      <c r="E154" t="s">
        <v>169</v>
      </c>
      <c r="F154" s="4">
        <v>45978</v>
      </c>
      <c r="H154" s="4">
        <v>45980</v>
      </c>
      <c r="J154" s="4">
        <v>45982</v>
      </c>
      <c r="L154" s="4">
        <v>45985</v>
      </c>
      <c r="N154" s="4">
        <v>45987</v>
      </c>
      <c r="P154" s="4">
        <v>45989</v>
      </c>
      <c r="R154" s="4">
        <v>45991</v>
      </c>
      <c r="T154" s="4">
        <v>45992</v>
      </c>
      <c r="V154" s="4">
        <v>45993</v>
      </c>
      <c r="X154" s="4">
        <v>45994</v>
      </c>
      <c r="Z154" s="4">
        <v>45995</v>
      </c>
      <c r="AB154" s="4">
        <v>45996</v>
      </c>
      <c r="AD154" s="4">
        <v>45997</v>
      </c>
      <c r="AF154" s="4">
        <v>45998</v>
      </c>
      <c r="AH154" s="4">
        <v>45999</v>
      </c>
      <c r="AJ154" s="4">
        <v>46000</v>
      </c>
      <c r="AL154" s="4">
        <v>46001</v>
      </c>
      <c r="AN154" s="4">
        <v>46002</v>
      </c>
      <c r="AP154" s="4">
        <v>46003</v>
      </c>
      <c r="AR154" s="4">
        <v>46006</v>
      </c>
      <c r="AT154" s="4">
        <v>46007</v>
      </c>
      <c r="AV154" s="4">
        <v>46008</v>
      </c>
      <c r="AX154" s="4">
        <v>46009</v>
      </c>
      <c r="AZ154" s="4">
        <v>46010</v>
      </c>
      <c r="BB154" s="4">
        <v>46011</v>
      </c>
      <c r="BD154" s="4">
        <v>46012</v>
      </c>
      <c r="BH154" t="s">
        <v>153</v>
      </c>
    </row>
    <row r="155" spans="1:60" x14ac:dyDescent="0.3">
      <c r="A155" s="7" t="s">
        <v>246</v>
      </c>
      <c r="B155" s="3" t="s">
        <v>247</v>
      </c>
      <c r="C155" s="4">
        <v>45973</v>
      </c>
      <c r="D155" s="4">
        <v>45975</v>
      </c>
      <c r="E155" t="s">
        <v>278</v>
      </c>
      <c r="F155" s="4">
        <v>45978</v>
      </c>
      <c r="G155">
        <v>0.24</v>
      </c>
      <c r="H155" s="8">
        <v>45980</v>
      </c>
      <c r="I155" s="9">
        <v>0.24</v>
      </c>
      <c r="J155" s="4">
        <v>45982</v>
      </c>
      <c r="L155" s="4">
        <v>45985</v>
      </c>
      <c r="N155" s="4">
        <v>45987</v>
      </c>
      <c r="P155" s="4">
        <v>45989</v>
      </c>
      <c r="R155" s="4">
        <v>45991</v>
      </c>
      <c r="T155" s="4">
        <v>45992</v>
      </c>
      <c r="V155" s="4">
        <v>45993</v>
      </c>
      <c r="X155" s="4">
        <v>45994</v>
      </c>
      <c r="Z155" s="4">
        <v>45995</v>
      </c>
      <c r="AB155" s="4">
        <v>45996</v>
      </c>
      <c r="AD155" s="4">
        <v>45997</v>
      </c>
      <c r="AF155" s="4">
        <v>45998</v>
      </c>
      <c r="AH155" s="4">
        <v>45999</v>
      </c>
      <c r="AJ155" s="4">
        <v>46000</v>
      </c>
      <c r="AL155" s="4">
        <v>46001</v>
      </c>
      <c r="AN155" s="4">
        <v>46002</v>
      </c>
      <c r="AP155" s="4">
        <v>46003</v>
      </c>
      <c r="AR155" s="4">
        <v>46006</v>
      </c>
      <c r="AT155" s="4">
        <v>46007</v>
      </c>
      <c r="AV155" s="4">
        <v>46008</v>
      </c>
      <c r="AX155" s="4">
        <v>46009</v>
      </c>
      <c r="AZ155" s="4">
        <v>46010</v>
      </c>
      <c r="BB155" s="4">
        <v>46011</v>
      </c>
      <c r="BD155" s="4">
        <v>46012</v>
      </c>
    </row>
    <row r="156" spans="1:60" x14ac:dyDescent="0.3">
      <c r="A156" s="14" t="s">
        <v>249</v>
      </c>
      <c r="B156" s="11" t="s">
        <v>248</v>
      </c>
      <c r="C156" s="4">
        <v>45973</v>
      </c>
      <c r="D156" s="8">
        <v>45975</v>
      </c>
      <c r="E156" s="9">
        <v>0.3</v>
      </c>
      <c r="F156" s="4">
        <v>45978</v>
      </c>
      <c r="H156" s="4">
        <v>45980</v>
      </c>
      <c r="J156" s="4">
        <v>45982</v>
      </c>
      <c r="L156" s="4">
        <v>45985</v>
      </c>
      <c r="N156" s="4">
        <v>45987</v>
      </c>
      <c r="P156" s="4">
        <v>45989</v>
      </c>
      <c r="R156" s="4">
        <v>45991</v>
      </c>
      <c r="T156" s="4">
        <v>45992</v>
      </c>
      <c r="V156" s="4">
        <v>45993</v>
      </c>
      <c r="X156" s="4">
        <v>45994</v>
      </c>
      <c r="Z156" s="4">
        <v>45995</v>
      </c>
      <c r="AB156" s="4">
        <v>45996</v>
      </c>
      <c r="AD156" s="4">
        <v>45997</v>
      </c>
      <c r="AF156" s="4">
        <v>45998</v>
      </c>
      <c r="AH156" s="4">
        <v>45999</v>
      </c>
      <c r="AJ156" s="4">
        <v>46000</v>
      </c>
      <c r="AL156" s="4">
        <v>46001</v>
      </c>
      <c r="AN156" s="4">
        <v>46002</v>
      </c>
      <c r="AP156" s="4">
        <v>46003</v>
      </c>
      <c r="AR156" s="4">
        <v>46006</v>
      </c>
      <c r="AT156" s="4">
        <v>46007</v>
      </c>
      <c r="AV156" s="4">
        <v>46008</v>
      </c>
      <c r="AX156" s="4">
        <v>46009</v>
      </c>
      <c r="AZ156" s="4">
        <v>46010</v>
      </c>
      <c r="BB156" s="4">
        <v>46011</v>
      </c>
      <c r="BD156" s="4">
        <v>46012</v>
      </c>
    </row>
    <row r="157" spans="1:60" x14ac:dyDescent="0.3">
      <c r="A157" s="14" t="s">
        <v>251</v>
      </c>
      <c r="B157" s="11" t="s">
        <v>248</v>
      </c>
      <c r="C157" s="4">
        <v>45973</v>
      </c>
      <c r="D157" s="4">
        <v>45975</v>
      </c>
      <c r="E157" t="s">
        <v>278</v>
      </c>
      <c r="F157" s="8">
        <v>45978</v>
      </c>
      <c r="G157" s="9">
        <v>0.24</v>
      </c>
      <c r="H157" s="4">
        <v>45980</v>
      </c>
      <c r="J157" s="4">
        <v>45982</v>
      </c>
      <c r="L157" s="4">
        <v>45985</v>
      </c>
      <c r="N157" s="4">
        <v>45987</v>
      </c>
      <c r="P157" s="4">
        <v>45989</v>
      </c>
      <c r="R157" s="4">
        <v>45991</v>
      </c>
      <c r="T157" s="4">
        <v>45992</v>
      </c>
      <c r="V157" s="4">
        <v>45993</v>
      </c>
      <c r="X157" s="4">
        <v>45994</v>
      </c>
      <c r="Z157" s="4">
        <v>45995</v>
      </c>
      <c r="AB157" s="4">
        <v>45996</v>
      </c>
      <c r="AD157" s="4">
        <v>45997</v>
      </c>
      <c r="AF157" s="4">
        <v>45998</v>
      </c>
      <c r="AH157" s="4">
        <v>45999</v>
      </c>
      <c r="AJ157" s="4">
        <v>46000</v>
      </c>
      <c r="AL157" s="4">
        <v>46001</v>
      </c>
      <c r="AN157" s="4">
        <v>46002</v>
      </c>
      <c r="AP157" s="4">
        <v>46003</v>
      </c>
      <c r="AR157" s="4">
        <v>46006</v>
      </c>
      <c r="AT157" s="4">
        <v>46007</v>
      </c>
      <c r="AV157" s="4">
        <v>46008</v>
      </c>
      <c r="AX157" s="4">
        <v>46009</v>
      </c>
      <c r="AZ157" s="4">
        <v>46010</v>
      </c>
      <c r="BB157" s="4">
        <v>46011</v>
      </c>
      <c r="BD157" s="4">
        <v>46012</v>
      </c>
    </row>
    <row r="158" spans="1:60" x14ac:dyDescent="0.3">
      <c r="A158" s="14" t="s">
        <v>252</v>
      </c>
      <c r="B158" s="11" t="s">
        <v>248</v>
      </c>
      <c r="C158" s="4">
        <v>45973</v>
      </c>
      <c r="D158" s="4">
        <v>45975</v>
      </c>
      <c r="E158" t="s">
        <v>278</v>
      </c>
      <c r="F158" s="4">
        <v>45978</v>
      </c>
      <c r="G158">
        <v>0.24</v>
      </c>
      <c r="H158" s="4">
        <v>45980</v>
      </c>
      <c r="I158">
        <v>0.42</v>
      </c>
      <c r="J158" s="4">
        <v>45982</v>
      </c>
      <c r="K158">
        <v>0.42</v>
      </c>
      <c r="L158" s="4">
        <v>45985</v>
      </c>
      <c r="M158">
        <v>0.48</v>
      </c>
      <c r="N158" s="4">
        <v>45987</v>
      </c>
      <c r="O158">
        <v>0.48</v>
      </c>
      <c r="P158" s="4">
        <v>45989</v>
      </c>
      <c r="Q158">
        <v>0.48</v>
      </c>
      <c r="R158" s="4">
        <v>45991</v>
      </c>
      <c r="T158" s="4">
        <v>45992</v>
      </c>
      <c r="U158">
        <v>0.48</v>
      </c>
      <c r="V158" s="4">
        <v>45993</v>
      </c>
      <c r="X158" s="4">
        <v>45994</v>
      </c>
      <c r="Y158">
        <v>0.48</v>
      </c>
      <c r="Z158" s="4">
        <v>45995</v>
      </c>
      <c r="AB158" s="4">
        <v>45996</v>
      </c>
      <c r="AC158" t="s">
        <v>169</v>
      </c>
      <c r="AD158" s="4">
        <v>45997</v>
      </c>
      <c r="AF158" s="4">
        <v>45998</v>
      </c>
      <c r="AH158" s="4">
        <v>45999</v>
      </c>
      <c r="AI158" t="s">
        <v>169</v>
      </c>
      <c r="AJ158" s="4">
        <v>46000</v>
      </c>
      <c r="AL158" s="4">
        <v>46001</v>
      </c>
      <c r="AN158" s="4">
        <v>46002</v>
      </c>
      <c r="AP158" s="4">
        <v>46003</v>
      </c>
      <c r="AR158" s="4">
        <v>46006</v>
      </c>
      <c r="AT158" s="4">
        <v>46007</v>
      </c>
      <c r="AV158" s="8">
        <v>46008</v>
      </c>
      <c r="AW158" s="9">
        <v>0.48</v>
      </c>
      <c r="AX158" s="4">
        <v>46009</v>
      </c>
      <c r="AZ158" s="4">
        <v>46010</v>
      </c>
      <c r="BB158" s="4">
        <v>46011</v>
      </c>
      <c r="BD158" s="4">
        <v>46012</v>
      </c>
    </row>
    <row r="159" spans="1:60" x14ac:dyDescent="0.3">
      <c r="A159" s="11" t="s">
        <v>250</v>
      </c>
      <c r="B159" s="11" t="s">
        <v>248</v>
      </c>
      <c r="C159" s="4">
        <v>45973</v>
      </c>
      <c r="D159" s="4">
        <v>45975</v>
      </c>
      <c r="E159" t="s">
        <v>278</v>
      </c>
      <c r="F159" s="4">
        <v>45978</v>
      </c>
      <c r="G159">
        <v>0.24</v>
      </c>
      <c r="H159" s="4">
        <v>45980</v>
      </c>
      <c r="J159" s="4">
        <v>45982</v>
      </c>
      <c r="L159" s="4">
        <v>45985</v>
      </c>
      <c r="N159" s="4">
        <v>45987</v>
      </c>
      <c r="P159" s="4">
        <v>45989</v>
      </c>
      <c r="R159" s="4">
        <v>45991</v>
      </c>
      <c r="T159" s="4">
        <v>45992</v>
      </c>
      <c r="V159" s="4">
        <v>45993</v>
      </c>
      <c r="X159" s="4">
        <v>45994</v>
      </c>
      <c r="Z159" s="4">
        <v>45995</v>
      </c>
      <c r="AB159" s="4">
        <v>45996</v>
      </c>
      <c r="AD159" s="4">
        <v>45997</v>
      </c>
      <c r="AF159" s="4">
        <v>45998</v>
      </c>
      <c r="AH159" s="4">
        <v>45999</v>
      </c>
      <c r="AJ159" s="4">
        <v>46000</v>
      </c>
      <c r="AL159" s="4">
        <v>46001</v>
      </c>
      <c r="AN159" s="4">
        <v>46002</v>
      </c>
      <c r="AP159" s="4">
        <v>46003</v>
      </c>
      <c r="AR159" s="4">
        <v>46006</v>
      </c>
      <c r="AT159" s="4">
        <v>46007</v>
      </c>
      <c r="AV159" s="4">
        <v>46008</v>
      </c>
      <c r="AX159" s="4">
        <v>46009</v>
      </c>
      <c r="AZ159" s="4">
        <v>46010</v>
      </c>
      <c r="BB159" s="4">
        <v>46011</v>
      </c>
      <c r="BD159" s="4">
        <v>46012</v>
      </c>
    </row>
    <row r="160" spans="1:60" x14ac:dyDescent="0.3">
      <c r="A160" s="14" t="s">
        <v>253</v>
      </c>
      <c r="B160" s="11" t="s">
        <v>248</v>
      </c>
      <c r="C160" s="4">
        <v>45973</v>
      </c>
      <c r="D160" s="4">
        <v>45975</v>
      </c>
      <c r="E160" t="s">
        <v>278</v>
      </c>
      <c r="F160" s="8">
        <v>45978</v>
      </c>
      <c r="G160" s="9">
        <v>0.18</v>
      </c>
      <c r="H160" s="4">
        <v>45980</v>
      </c>
      <c r="J160" s="4">
        <v>45982</v>
      </c>
      <c r="L160" s="4">
        <v>45985</v>
      </c>
      <c r="N160" s="4">
        <v>45987</v>
      </c>
      <c r="P160" s="4">
        <v>45989</v>
      </c>
      <c r="R160" s="4">
        <v>45991</v>
      </c>
      <c r="T160" s="4">
        <v>45992</v>
      </c>
      <c r="V160" s="4">
        <v>45993</v>
      </c>
      <c r="X160" s="4">
        <v>45994</v>
      </c>
      <c r="Z160" s="4">
        <v>45995</v>
      </c>
      <c r="AB160" s="4">
        <v>45996</v>
      </c>
      <c r="AD160" s="4">
        <v>45997</v>
      </c>
      <c r="AF160" s="4">
        <v>45998</v>
      </c>
      <c r="AH160" s="4">
        <v>45999</v>
      </c>
      <c r="AJ160" s="4">
        <v>46000</v>
      </c>
      <c r="AL160" s="4">
        <v>46001</v>
      </c>
      <c r="AN160" s="4">
        <v>46002</v>
      </c>
      <c r="AP160" s="4">
        <v>46003</v>
      </c>
      <c r="AR160" s="4">
        <v>46006</v>
      </c>
      <c r="AT160" s="4">
        <v>46007</v>
      </c>
      <c r="AV160" s="4">
        <v>46008</v>
      </c>
      <c r="AX160" s="4">
        <v>46009</v>
      </c>
      <c r="AZ160" s="4">
        <v>46010</v>
      </c>
      <c r="BB160" s="4">
        <v>46011</v>
      </c>
      <c r="BD160" s="4">
        <v>46012</v>
      </c>
    </row>
    <row r="161" spans="1:60" x14ac:dyDescent="0.3">
      <c r="A161" s="14" t="s">
        <v>254</v>
      </c>
      <c r="B161" s="11" t="s">
        <v>248</v>
      </c>
      <c r="C161" s="4">
        <v>45973</v>
      </c>
      <c r="D161" s="4">
        <v>45975</v>
      </c>
      <c r="E161" t="s">
        <v>169</v>
      </c>
      <c r="F161" s="8">
        <v>45978</v>
      </c>
      <c r="G161" s="9">
        <v>0.18</v>
      </c>
      <c r="H161" s="4">
        <v>45980</v>
      </c>
      <c r="J161" s="4">
        <v>45982</v>
      </c>
      <c r="L161" s="4">
        <v>45985</v>
      </c>
      <c r="N161" s="4">
        <v>45987</v>
      </c>
      <c r="P161" s="4">
        <v>45989</v>
      </c>
      <c r="R161" s="4">
        <v>45991</v>
      </c>
      <c r="T161" s="4">
        <v>45992</v>
      </c>
      <c r="V161" s="4">
        <v>45993</v>
      </c>
      <c r="X161" s="4">
        <v>45994</v>
      </c>
      <c r="Z161" s="4">
        <v>45995</v>
      </c>
      <c r="AB161" s="4">
        <v>45996</v>
      </c>
      <c r="AD161" s="4">
        <v>45997</v>
      </c>
      <c r="AF161" s="4">
        <v>45998</v>
      </c>
      <c r="AH161" s="4">
        <v>45999</v>
      </c>
      <c r="AJ161" s="4">
        <v>46000</v>
      </c>
      <c r="AL161" s="4">
        <v>46001</v>
      </c>
      <c r="AN161" s="4">
        <v>46002</v>
      </c>
      <c r="AP161" s="4">
        <v>46003</v>
      </c>
      <c r="AR161" s="4">
        <v>46006</v>
      </c>
      <c r="AT161" s="4">
        <v>46007</v>
      </c>
      <c r="AV161" s="4">
        <v>46008</v>
      </c>
      <c r="AX161" s="4">
        <v>46009</v>
      </c>
      <c r="AZ161" s="4">
        <v>46010</v>
      </c>
      <c r="BB161" s="4">
        <v>46011</v>
      </c>
      <c r="BD161" s="4">
        <v>46012</v>
      </c>
    </row>
    <row r="162" spans="1:60" x14ac:dyDescent="0.3">
      <c r="A162" s="14" t="s">
        <v>255</v>
      </c>
      <c r="B162" s="11" t="s">
        <v>248</v>
      </c>
      <c r="C162" s="4">
        <v>45973</v>
      </c>
      <c r="D162" s="4">
        <v>45975</v>
      </c>
      <c r="E162" t="s">
        <v>278</v>
      </c>
      <c r="F162" s="8">
        <v>45978</v>
      </c>
      <c r="G162" s="9">
        <v>0.24</v>
      </c>
      <c r="H162" s="4">
        <v>45980</v>
      </c>
      <c r="J162" s="4">
        <v>45982</v>
      </c>
      <c r="L162" s="4">
        <v>45985</v>
      </c>
      <c r="N162" s="4">
        <v>45987</v>
      </c>
      <c r="P162" s="4">
        <v>45989</v>
      </c>
      <c r="R162" s="4">
        <v>45991</v>
      </c>
      <c r="T162" s="4">
        <v>45992</v>
      </c>
      <c r="V162" s="4">
        <v>45993</v>
      </c>
      <c r="X162" s="4">
        <v>45994</v>
      </c>
      <c r="Z162" s="4">
        <v>45995</v>
      </c>
      <c r="AB162" s="4">
        <v>45996</v>
      </c>
      <c r="AD162" s="4">
        <v>45997</v>
      </c>
      <c r="AF162" s="4">
        <v>45998</v>
      </c>
      <c r="AH162" s="4">
        <v>45999</v>
      </c>
      <c r="AJ162" s="4">
        <v>46000</v>
      </c>
      <c r="AL162" s="4">
        <v>46001</v>
      </c>
      <c r="AN162" s="4">
        <v>46002</v>
      </c>
      <c r="AP162" s="4">
        <v>46003</v>
      </c>
      <c r="AR162" s="4">
        <v>46006</v>
      </c>
      <c r="AT162" s="4">
        <v>46007</v>
      </c>
      <c r="AV162" s="4">
        <v>46008</v>
      </c>
      <c r="AX162" s="4">
        <v>46009</v>
      </c>
      <c r="AZ162" s="4">
        <v>46010</v>
      </c>
      <c r="BB162" s="4">
        <v>46011</v>
      </c>
      <c r="BD162" s="4">
        <v>46012</v>
      </c>
    </row>
    <row r="163" spans="1:60" x14ac:dyDescent="0.3">
      <c r="A163" s="16" t="s">
        <v>256</v>
      </c>
      <c r="B163" s="11" t="s">
        <v>248</v>
      </c>
      <c r="C163" s="4">
        <v>45973</v>
      </c>
      <c r="D163" s="4">
        <v>45975</v>
      </c>
      <c r="E163" t="s">
        <v>169</v>
      </c>
      <c r="F163" s="4">
        <v>45978</v>
      </c>
      <c r="G163">
        <v>0.24</v>
      </c>
      <c r="H163" s="4">
        <v>45980</v>
      </c>
      <c r="I163">
        <v>0.42</v>
      </c>
      <c r="J163" s="4">
        <v>45982</v>
      </c>
      <c r="K163">
        <v>0.42</v>
      </c>
      <c r="L163" s="4">
        <v>45985</v>
      </c>
      <c r="M163">
        <v>0.66</v>
      </c>
      <c r="N163" s="4">
        <v>45987</v>
      </c>
      <c r="O163">
        <v>0.66</v>
      </c>
      <c r="P163" s="4">
        <v>45989</v>
      </c>
      <c r="Q163">
        <v>0.66</v>
      </c>
      <c r="R163" s="4">
        <v>45991</v>
      </c>
      <c r="T163" s="13">
        <v>45992</v>
      </c>
      <c r="U163" s="5" t="s">
        <v>70</v>
      </c>
      <c r="V163" s="4">
        <v>45993</v>
      </c>
      <c r="W163" t="s">
        <v>70</v>
      </c>
      <c r="X163" s="4">
        <v>45994</v>
      </c>
      <c r="Z163" s="4">
        <v>45995</v>
      </c>
      <c r="AB163" s="4">
        <v>45996</v>
      </c>
      <c r="AD163" s="4">
        <v>45997</v>
      </c>
      <c r="AF163" s="13">
        <v>45998</v>
      </c>
      <c r="AG163" s="5" t="s">
        <v>75</v>
      </c>
      <c r="AH163" s="4">
        <v>45999</v>
      </c>
      <c r="AJ163" s="4">
        <v>46000</v>
      </c>
      <c r="AL163" s="4">
        <v>46001</v>
      </c>
      <c r="AN163" s="4">
        <v>46002</v>
      </c>
      <c r="AP163" s="4">
        <v>46003</v>
      </c>
      <c r="AR163" s="4">
        <v>46006</v>
      </c>
      <c r="AT163" s="4">
        <v>46007</v>
      </c>
      <c r="AV163" s="4">
        <v>46008</v>
      </c>
      <c r="AX163" s="4">
        <v>46009</v>
      </c>
      <c r="AZ163" s="4">
        <v>46010</v>
      </c>
      <c r="BB163" s="4">
        <v>46011</v>
      </c>
      <c r="BD163" s="4">
        <v>46012</v>
      </c>
    </row>
    <row r="164" spans="1:60" x14ac:dyDescent="0.3">
      <c r="A164" s="16" t="s">
        <v>257</v>
      </c>
      <c r="B164" s="11" t="s">
        <v>248</v>
      </c>
      <c r="C164" s="4">
        <v>45973</v>
      </c>
      <c r="D164" s="4">
        <v>45975</v>
      </c>
      <c r="E164" t="s">
        <v>278</v>
      </c>
      <c r="F164" s="4">
        <v>45978</v>
      </c>
      <c r="G164">
        <v>0.24</v>
      </c>
      <c r="H164" s="4">
        <v>45980</v>
      </c>
      <c r="I164">
        <v>0.42</v>
      </c>
      <c r="J164" s="4">
        <v>45982</v>
      </c>
      <c r="K164">
        <v>0.42</v>
      </c>
      <c r="L164" s="4">
        <v>45985</v>
      </c>
      <c r="M164">
        <v>0.6</v>
      </c>
      <c r="N164" s="4">
        <v>45987</v>
      </c>
      <c r="O164">
        <v>0.72</v>
      </c>
      <c r="P164" s="4">
        <v>45989</v>
      </c>
      <c r="Q164">
        <v>0.72</v>
      </c>
      <c r="R164" s="4">
        <v>45991</v>
      </c>
      <c r="T164" s="4">
        <v>45992</v>
      </c>
      <c r="U164">
        <v>0.66</v>
      </c>
      <c r="V164" s="4">
        <v>45993</v>
      </c>
      <c r="X164" s="4">
        <v>45994</v>
      </c>
      <c r="Y164" t="s">
        <v>69</v>
      </c>
      <c r="Z164" s="4">
        <v>45995</v>
      </c>
      <c r="AB164" s="13">
        <v>45996</v>
      </c>
      <c r="AC164" s="5" t="s">
        <v>70</v>
      </c>
      <c r="AD164" s="4">
        <v>45997</v>
      </c>
      <c r="AF164" s="4">
        <v>45998</v>
      </c>
      <c r="AH164" s="4">
        <v>45999</v>
      </c>
      <c r="AJ164" s="4">
        <v>46000</v>
      </c>
      <c r="AL164" s="13">
        <v>46001</v>
      </c>
      <c r="AM164" s="5" t="s">
        <v>75</v>
      </c>
      <c r="AN164" s="4">
        <v>46002</v>
      </c>
      <c r="AP164" s="4">
        <v>46003</v>
      </c>
      <c r="AR164" s="4">
        <v>46006</v>
      </c>
      <c r="AT164" s="4">
        <v>46007</v>
      </c>
      <c r="AV164" s="4">
        <v>46008</v>
      </c>
      <c r="AX164" s="4">
        <v>46009</v>
      </c>
      <c r="AZ164" s="4">
        <v>46010</v>
      </c>
      <c r="BB164" s="4">
        <v>46011</v>
      </c>
      <c r="BD164" s="4">
        <v>46012</v>
      </c>
    </row>
    <row r="165" spans="1:60" x14ac:dyDescent="0.3">
      <c r="A165" s="14" t="s">
        <v>258</v>
      </c>
      <c r="B165" s="11" t="s">
        <v>248</v>
      </c>
      <c r="C165" s="4">
        <v>45973</v>
      </c>
      <c r="D165" s="4">
        <v>45975</v>
      </c>
      <c r="E165" t="s">
        <v>278</v>
      </c>
      <c r="F165" s="8">
        <v>45978</v>
      </c>
      <c r="G165" s="9">
        <v>0.18</v>
      </c>
      <c r="H165" s="4">
        <v>45980</v>
      </c>
      <c r="J165" s="4">
        <v>45982</v>
      </c>
      <c r="L165" s="4">
        <v>45985</v>
      </c>
      <c r="N165" s="4">
        <v>45987</v>
      </c>
      <c r="P165" s="4">
        <v>45989</v>
      </c>
      <c r="R165" s="4">
        <v>45991</v>
      </c>
      <c r="T165" s="4">
        <v>45992</v>
      </c>
      <c r="V165" s="4">
        <v>45993</v>
      </c>
      <c r="X165" s="4">
        <v>45994</v>
      </c>
      <c r="Z165" s="4">
        <v>45995</v>
      </c>
      <c r="AB165" s="4">
        <v>45996</v>
      </c>
      <c r="AD165" s="4">
        <v>45997</v>
      </c>
      <c r="AF165" s="4">
        <v>45998</v>
      </c>
      <c r="AH165" s="4">
        <v>45999</v>
      </c>
      <c r="AJ165" s="4">
        <v>46000</v>
      </c>
      <c r="AL165" s="4">
        <v>46001</v>
      </c>
      <c r="AN165" s="4">
        <v>46002</v>
      </c>
      <c r="AP165" s="4">
        <v>46003</v>
      </c>
      <c r="AR165" s="4">
        <v>46006</v>
      </c>
      <c r="AT165" s="4">
        <v>46007</v>
      </c>
      <c r="AV165" s="4">
        <v>46008</v>
      </c>
      <c r="AX165" s="4">
        <v>46009</v>
      </c>
      <c r="AZ165" s="4">
        <v>46010</v>
      </c>
      <c r="BB165" s="4">
        <v>46011</v>
      </c>
      <c r="BD165" s="4">
        <v>46012</v>
      </c>
    </row>
    <row r="166" spans="1:60" x14ac:dyDescent="0.3">
      <c r="A166" s="11" t="s">
        <v>259</v>
      </c>
      <c r="B166" s="11" t="s">
        <v>248</v>
      </c>
      <c r="C166" s="4">
        <v>45973</v>
      </c>
      <c r="D166" s="4">
        <v>45975</v>
      </c>
      <c r="E166" t="s">
        <v>278</v>
      </c>
      <c r="F166" s="4">
        <v>45978</v>
      </c>
      <c r="G166">
        <v>0.24</v>
      </c>
      <c r="H166" s="4">
        <v>45980</v>
      </c>
      <c r="I166">
        <v>0.42</v>
      </c>
      <c r="J166" s="4">
        <v>45982</v>
      </c>
      <c r="K166">
        <v>0.42</v>
      </c>
      <c r="L166" s="4">
        <v>45985</v>
      </c>
      <c r="M166">
        <v>0.42</v>
      </c>
      <c r="N166" s="4">
        <v>45987</v>
      </c>
      <c r="O166">
        <v>0.66</v>
      </c>
      <c r="P166" s="4">
        <v>45989</v>
      </c>
      <c r="Q166">
        <v>0.66</v>
      </c>
      <c r="R166" s="4">
        <v>45991</v>
      </c>
      <c r="T166" s="4">
        <v>45992</v>
      </c>
      <c r="U166">
        <v>0.66</v>
      </c>
      <c r="V166" s="4">
        <v>45993</v>
      </c>
      <c r="X166" s="4">
        <v>45994</v>
      </c>
      <c r="Y166">
        <v>0.66</v>
      </c>
      <c r="Z166" s="4">
        <v>45995</v>
      </c>
      <c r="AB166" s="4">
        <v>45996</v>
      </c>
      <c r="AC166">
        <v>0.66</v>
      </c>
      <c r="AD166" s="4">
        <v>45997</v>
      </c>
      <c r="AF166" s="4">
        <v>45998</v>
      </c>
      <c r="AH166" s="4">
        <v>45999</v>
      </c>
      <c r="AI166">
        <v>0.66</v>
      </c>
      <c r="AJ166" s="4">
        <v>46000</v>
      </c>
      <c r="AL166" s="4">
        <v>46001</v>
      </c>
      <c r="AM166">
        <v>0.66</v>
      </c>
      <c r="AN166" s="4">
        <v>46002</v>
      </c>
      <c r="AP166" s="4">
        <v>46003</v>
      </c>
      <c r="AQ166">
        <v>0.66</v>
      </c>
      <c r="AR166" s="4">
        <v>46006</v>
      </c>
      <c r="AT166" s="4">
        <v>46007</v>
      </c>
      <c r="AV166" s="4">
        <v>46008</v>
      </c>
      <c r="AX166" s="4">
        <v>46009</v>
      </c>
      <c r="AZ166" s="4">
        <v>46010</v>
      </c>
      <c r="BB166" s="4">
        <v>46011</v>
      </c>
      <c r="BD166" s="4">
        <v>46012</v>
      </c>
    </row>
    <row r="167" spans="1:60" x14ac:dyDescent="0.3">
      <c r="A167" s="14" t="s">
        <v>260</v>
      </c>
      <c r="B167" s="11" t="s">
        <v>248</v>
      </c>
      <c r="C167" s="4">
        <v>45973</v>
      </c>
      <c r="D167" s="4">
        <v>45975</v>
      </c>
      <c r="E167" t="s">
        <v>278</v>
      </c>
      <c r="F167" s="4">
        <v>45978</v>
      </c>
      <c r="G167">
        <v>0.24</v>
      </c>
      <c r="H167" s="4">
        <v>45980</v>
      </c>
      <c r="I167">
        <v>0.42</v>
      </c>
      <c r="J167" s="4">
        <v>45982</v>
      </c>
      <c r="K167">
        <v>0.42</v>
      </c>
      <c r="L167" s="4">
        <v>45985</v>
      </c>
      <c r="M167">
        <v>0.42</v>
      </c>
      <c r="N167" s="4">
        <v>45987</v>
      </c>
      <c r="O167">
        <v>0.42</v>
      </c>
      <c r="P167" s="4">
        <v>45989</v>
      </c>
      <c r="Q167">
        <v>0.42</v>
      </c>
      <c r="R167" s="4">
        <v>45991</v>
      </c>
      <c r="T167" s="4">
        <v>45992</v>
      </c>
      <c r="U167">
        <v>0.42</v>
      </c>
      <c r="V167" s="4">
        <v>45993</v>
      </c>
      <c r="X167" s="4">
        <v>45994</v>
      </c>
      <c r="Y167">
        <v>0.42</v>
      </c>
      <c r="Z167" s="4">
        <v>45995</v>
      </c>
      <c r="AB167" s="8">
        <v>45996</v>
      </c>
      <c r="AC167" s="9">
        <v>0.42</v>
      </c>
      <c r="AD167" s="4">
        <v>45997</v>
      </c>
      <c r="AF167" s="4">
        <v>45998</v>
      </c>
      <c r="AH167" s="4">
        <v>45999</v>
      </c>
      <c r="AJ167" s="4">
        <v>46000</v>
      </c>
      <c r="AL167" s="4">
        <v>46001</v>
      </c>
      <c r="AN167" s="4">
        <v>46002</v>
      </c>
      <c r="AP167" s="4">
        <v>46003</v>
      </c>
      <c r="AR167" s="4">
        <v>46006</v>
      </c>
      <c r="AT167" s="4">
        <v>46007</v>
      </c>
      <c r="AV167" s="4">
        <v>46008</v>
      </c>
      <c r="AX167" s="4">
        <v>46009</v>
      </c>
      <c r="AZ167" s="4">
        <v>46010</v>
      </c>
      <c r="BB167" s="4">
        <v>46011</v>
      </c>
      <c r="BD167" s="4">
        <v>46012</v>
      </c>
      <c r="BH167" t="s">
        <v>276</v>
      </c>
    </row>
    <row r="168" spans="1:60" x14ac:dyDescent="0.3">
      <c r="A168" s="11" t="s">
        <v>261</v>
      </c>
      <c r="B168" s="11" t="s">
        <v>248</v>
      </c>
      <c r="C168" s="4">
        <v>45973</v>
      </c>
      <c r="D168" s="4">
        <v>45975</v>
      </c>
      <c r="E168" t="s">
        <v>169</v>
      </c>
      <c r="F168" s="4">
        <v>45978</v>
      </c>
      <c r="H168" s="4">
        <v>45980</v>
      </c>
      <c r="J168" s="4">
        <v>45982</v>
      </c>
      <c r="L168" s="4">
        <v>45985</v>
      </c>
      <c r="N168" s="4">
        <v>45987</v>
      </c>
      <c r="P168" s="4">
        <v>45989</v>
      </c>
      <c r="R168" s="4">
        <v>45991</v>
      </c>
      <c r="T168" s="4">
        <v>45992</v>
      </c>
      <c r="V168" s="4">
        <v>45993</v>
      </c>
      <c r="X168" s="4">
        <v>45994</v>
      </c>
      <c r="Z168" s="4">
        <v>45995</v>
      </c>
      <c r="AB168" s="4">
        <v>45996</v>
      </c>
      <c r="AD168" s="4">
        <v>45997</v>
      </c>
      <c r="AF168" s="4">
        <v>45998</v>
      </c>
      <c r="AH168" s="4">
        <v>45999</v>
      </c>
      <c r="AJ168" s="4">
        <v>46000</v>
      </c>
      <c r="AL168" s="4">
        <v>46001</v>
      </c>
      <c r="AN168" s="4">
        <v>46002</v>
      </c>
      <c r="AP168" s="4">
        <v>46003</v>
      </c>
      <c r="AR168" s="4">
        <v>46006</v>
      </c>
      <c r="AT168" s="4">
        <v>46007</v>
      </c>
      <c r="AV168" s="4">
        <v>46008</v>
      </c>
      <c r="AX168" s="4">
        <v>46009</v>
      </c>
      <c r="AZ168" s="4">
        <v>46010</v>
      </c>
      <c r="BB168" s="4">
        <v>46011</v>
      </c>
      <c r="BD168" s="4">
        <v>46012</v>
      </c>
      <c r="BH168" t="s">
        <v>153</v>
      </c>
    </row>
    <row r="169" spans="1:60" x14ac:dyDescent="0.3">
      <c r="A169" s="14" t="s">
        <v>262</v>
      </c>
      <c r="B169" s="11" t="s">
        <v>248</v>
      </c>
      <c r="C169" s="4">
        <v>45973</v>
      </c>
      <c r="D169" s="4">
        <v>45975</v>
      </c>
      <c r="E169" t="s">
        <v>169</v>
      </c>
      <c r="F169" s="4">
        <v>45978</v>
      </c>
      <c r="H169" s="8">
        <v>45980</v>
      </c>
      <c r="I169" s="9">
        <v>0.24</v>
      </c>
      <c r="J169" s="4">
        <v>45982</v>
      </c>
      <c r="L169" s="4">
        <v>45985</v>
      </c>
      <c r="N169" s="4">
        <v>45987</v>
      </c>
      <c r="P169" s="4">
        <v>45989</v>
      </c>
      <c r="R169" s="4">
        <v>45991</v>
      </c>
      <c r="T169" s="4">
        <v>45992</v>
      </c>
      <c r="V169" s="4">
        <v>45993</v>
      </c>
      <c r="X169" s="4">
        <v>45994</v>
      </c>
      <c r="Z169" s="4">
        <v>45995</v>
      </c>
      <c r="AB169" s="4">
        <v>45996</v>
      </c>
      <c r="AD169" s="4">
        <v>45997</v>
      </c>
      <c r="AF169" s="4">
        <v>45998</v>
      </c>
      <c r="AH169" s="4">
        <v>45999</v>
      </c>
      <c r="AJ169" s="4">
        <v>46000</v>
      </c>
      <c r="AL169" s="4">
        <v>46001</v>
      </c>
      <c r="AN169" s="4">
        <v>46002</v>
      </c>
      <c r="AP169" s="4">
        <v>46003</v>
      </c>
      <c r="AR169" s="4">
        <v>46006</v>
      </c>
      <c r="AT169" s="4">
        <v>46007</v>
      </c>
      <c r="AV169" s="4">
        <v>46008</v>
      </c>
      <c r="AX169" s="4">
        <v>46009</v>
      </c>
      <c r="AZ169" s="4">
        <v>46010</v>
      </c>
      <c r="BB169" s="4">
        <v>46011</v>
      </c>
      <c r="BD169" s="4">
        <v>46012</v>
      </c>
      <c r="BH169" t="s">
        <v>161</v>
      </c>
    </row>
    <row r="170" spans="1:60" x14ac:dyDescent="0.3">
      <c r="A170" s="16" t="s">
        <v>263</v>
      </c>
      <c r="B170" s="11" t="s">
        <v>248</v>
      </c>
      <c r="C170" s="4">
        <v>45973</v>
      </c>
      <c r="D170" s="4">
        <v>45975</v>
      </c>
      <c r="E170" t="s">
        <v>278</v>
      </c>
      <c r="F170" s="4">
        <v>45978</v>
      </c>
      <c r="G170">
        <v>0.24</v>
      </c>
      <c r="H170" s="4">
        <v>45980</v>
      </c>
      <c r="I170">
        <v>0.42</v>
      </c>
      <c r="J170" s="4">
        <v>45982</v>
      </c>
      <c r="K170">
        <v>0.42</v>
      </c>
      <c r="L170" s="4">
        <v>45985</v>
      </c>
      <c r="M170">
        <v>0.42</v>
      </c>
      <c r="N170" s="4">
        <v>45987</v>
      </c>
      <c r="O170">
        <v>0.42</v>
      </c>
      <c r="P170" s="4">
        <v>45989</v>
      </c>
      <c r="Q170">
        <v>0.48</v>
      </c>
      <c r="R170" s="4">
        <v>45991</v>
      </c>
      <c r="T170" s="4">
        <v>45992</v>
      </c>
      <c r="U170">
        <v>0.6</v>
      </c>
      <c r="V170" s="4">
        <v>45993</v>
      </c>
      <c r="X170" s="4">
        <v>45994</v>
      </c>
      <c r="Y170">
        <v>0.6</v>
      </c>
      <c r="Z170" s="4">
        <v>45995</v>
      </c>
      <c r="AB170" s="4">
        <v>45996</v>
      </c>
      <c r="AC170">
        <v>0.6</v>
      </c>
      <c r="AD170" s="4">
        <v>45997</v>
      </c>
      <c r="AF170" s="4">
        <v>45998</v>
      </c>
      <c r="AH170" s="4">
        <v>45999</v>
      </c>
      <c r="AI170">
        <v>0.66</v>
      </c>
      <c r="AJ170" s="4">
        <v>46000</v>
      </c>
      <c r="AL170" s="4">
        <v>46001</v>
      </c>
      <c r="AM170" t="s">
        <v>69</v>
      </c>
      <c r="AN170" s="4">
        <v>46002</v>
      </c>
      <c r="AP170" s="4">
        <v>46003</v>
      </c>
      <c r="AQ170" s="5" t="s">
        <v>70</v>
      </c>
      <c r="AR170" s="4">
        <v>46006</v>
      </c>
      <c r="AT170" s="13">
        <v>46007</v>
      </c>
      <c r="AU170" s="5" t="s">
        <v>75</v>
      </c>
      <c r="AV170" s="4">
        <v>46008</v>
      </c>
      <c r="AX170" s="4">
        <v>46009</v>
      </c>
      <c r="AZ170" s="4">
        <v>46010</v>
      </c>
      <c r="BB170" s="4">
        <v>46011</v>
      </c>
      <c r="BD170" s="4">
        <v>46012</v>
      </c>
      <c r="BH170" t="s">
        <v>153</v>
      </c>
    </row>
    <row r="171" spans="1:60" x14ac:dyDescent="0.3">
      <c r="A171" s="14" t="s">
        <v>264</v>
      </c>
      <c r="B171" s="11" t="s">
        <v>248</v>
      </c>
      <c r="C171" s="4">
        <v>45973</v>
      </c>
      <c r="D171" s="4">
        <v>45975</v>
      </c>
      <c r="E171" t="s">
        <v>169</v>
      </c>
      <c r="F171" s="8">
        <v>45978</v>
      </c>
      <c r="G171" s="9">
        <v>0.24</v>
      </c>
      <c r="H171" s="4">
        <v>45980</v>
      </c>
      <c r="J171" s="4">
        <v>45982</v>
      </c>
      <c r="L171" s="4">
        <v>45985</v>
      </c>
      <c r="N171" s="4">
        <v>45987</v>
      </c>
      <c r="P171" s="4">
        <v>45989</v>
      </c>
      <c r="R171" s="4">
        <v>45991</v>
      </c>
      <c r="T171" s="4">
        <v>45992</v>
      </c>
      <c r="V171" s="4">
        <v>45993</v>
      </c>
      <c r="X171" s="4">
        <v>45994</v>
      </c>
      <c r="Z171" s="4">
        <v>45995</v>
      </c>
      <c r="AB171" s="4">
        <v>45996</v>
      </c>
      <c r="AD171" s="4">
        <v>45997</v>
      </c>
      <c r="AF171" s="4">
        <v>45998</v>
      </c>
      <c r="AH171" s="4">
        <v>45999</v>
      </c>
      <c r="AJ171" s="4">
        <v>46000</v>
      </c>
      <c r="AL171" s="4">
        <v>46001</v>
      </c>
      <c r="AN171" s="4">
        <v>46002</v>
      </c>
      <c r="AP171" s="4">
        <v>46003</v>
      </c>
      <c r="AR171" s="4">
        <v>46006</v>
      </c>
      <c r="AT171" s="4">
        <v>46007</v>
      </c>
      <c r="AV171" s="4">
        <v>46008</v>
      </c>
      <c r="AX171" s="4">
        <v>46009</v>
      </c>
      <c r="AZ171" s="4">
        <v>46010</v>
      </c>
      <c r="BB171" s="4">
        <v>46011</v>
      </c>
      <c r="BD171" s="4">
        <v>46012</v>
      </c>
      <c r="BH171" t="s">
        <v>153</v>
      </c>
    </row>
    <row r="172" spans="1:60" x14ac:dyDescent="0.3">
      <c r="A172" s="14" t="s">
        <v>265</v>
      </c>
      <c r="B172" s="11" t="s">
        <v>248</v>
      </c>
      <c r="C172" s="4">
        <v>45973</v>
      </c>
      <c r="D172" s="4">
        <v>45975</v>
      </c>
      <c r="E172" t="s">
        <v>278</v>
      </c>
      <c r="F172" s="4">
        <v>45978</v>
      </c>
      <c r="G172">
        <v>0.24</v>
      </c>
      <c r="H172" s="4">
        <v>45980</v>
      </c>
      <c r="I172">
        <v>0.24</v>
      </c>
      <c r="J172" s="4">
        <v>45982</v>
      </c>
      <c r="L172" s="8">
        <v>45985</v>
      </c>
      <c r="M172" s="9">
        <v>0.24</v>
      </c>
      <c r="N172" s="4">
        <v>45987</v>
      </c>
      <c r="P172" s="4">
        <v>45989</v>
      </c>
      <c r="R172" s="4">
        <v>45991</v>
      </c>
      <c r="T172" s="4">
        <v>45992</v>
      </c>
      <c r="V172" s="4">
        <v>45993</v>
      </c>
      <c r="X172" s="4">
        <v>45994</v>
      </c>
      <c r="Z172" s="4">
        <v>45995</v>
      </c>
      <c r="AB172" s="4">
        <v>45996</v>
      </c>
      <c r="AD172" s="4">
        <v>45997</v>
      </c>
      <c r="AF172" s="4">
        <v>45998</v>
      </c>
      <c r="AH172" s="4">
        <v>45999</v>
      </c>
      <c r="AJ172" s="4">
        <v>46000</v>
      </c>
      <c r="AL172" s="4">
        <v>46001</v>
      </c>
      <c r="AN172" s="4">
        <v>46002</v>
      </c>
      <c r="AP172" s="4">
        <v>46003</v>
      </c>
      <c r="AR172" s="4">
        <v>46006</v>
      </c>
      <c r="AT172" s="4">
        <v>46007</v>
      </c>
      <c r="AV172" s="4">
        <v>46008</v>
      </c>
      <c r="AX172" s="4">
        <v>46009</v>
      </c>
      <c r="AZ172" s="4">
        <v>46010</v>
      </c>
      <c r="BB172" s="4">
        <v>46011</v>
      </c>
      <c r="BD172" s="4">
        <v>46012</v>
      </c>
      <c r="BH172" t="s">
        <v>153</v>
      </c>
    </row>
    <row r="173" spans="1:60" x14ac:dyDescent="0.3">
      <c r="A173" s="14" t="s">
        <v>266</v>
      </c>
      <c r="B173" s="11" t="s">
        <v>248</v>
      </c>
      <c r="C173" s="4">
        <v>45973</v>
      </c>
      <c r="D173" s="4">
        <v>45975</v>
      </c>
      <c r="E173" t="s">
        <v>169</v>
      </c>
      <c r="F173" s="4">
        <v>45978</v>
      </c>
      <c r="G173">
        <v>0.24</v>
      </c>
      <c r="H173" s="4">
        <v>45980</v>
      </c>
      <c r="I173">
        <v>0.24</v>
      </c>
      <c r="J173" s="4">
        <v>45982</v>
      </c>
      <c r="K173">
        <v>0.24</v>
      </c>
      <c r="L173" s="4">
        <v>45985</v>
      </c>
      <c r="M173">
        <v>0.42</v>
      </c>
      <c r="N173" s="4">
        <v>45987</v>
      </c>
      <c r="O173">
        <v>0.42</v>
      </c>
      <c r="P173" s="4">
        <v>45989</v>
      </c>
      <c r="Q173">
        <v>0.42</v>
      </c>
      <c r="R173" s="4">
        <v>45991</v>
      </c>
      <c r="T173" s="4">
        <v>45992</v>
      </c>
      <c r="U173">
        <v>0.6</v>
      </c>
      <c r="V173" s="4">
        <v>45993</v>
      </c>
      <c r="X173" s="4">
        <v>45994</v>
      </c>
      <c r="Y173">
        <v>0.6</v>
      </c>
      <c r="Z173" s="4">
        <v>45995</v>
      </c>
      <c r="AB173" s="4">
        <v>45996</v>
      </c>
      <c r="AC173">
        <v>0.6</v>
      </c>
      <c r="AD173" s="4">
        <v>45997</v>
      </c>
      <c r="AF173" s="4">
        <v>45998</v>
      </c>
      <c r="AH173" s="4">
        <v>45999</v>
      </c>
      <c r="AI173">
        <v>0.6</v>
      </c>
      <c r="AJ173" s="4">
        <v>46000</v>
      </c>
      <c r="AL173" s="4">
        <v>46001</v>
      </c>
      <c r="AM173">
        <v>0.6</v>
      </c>
      <c r="AN173" s="4">
        <v>46002</v>
      </c>
      <c r="AP173" s="4">
        <v>46003</v>
      </c>
      <c r="AQ173" s="9" t="s">
        <v>283</v>
      </c>
      <c r="AR173" s="4">
        <v>46006</v>
      </c>
      <c r="AT173" s="4">
        <v>46007</v>
      </c>
      <c r="AV173" s="4">
        <v>46008</v>
      </c>
      <c r="AX173" s="4">
        <v>46009</v>
      </c>
      <c r="AZ173" s="4">
        <v>46010</v>
      </c>
      <c r="BB173" s="4">
        <v>46011</v>
      </c>
      <c r="BD173" s="4">
        <v>46012</v>
      </c>
      <c r="BH173" t="s">
        <v>155</v>
      </c>
    </row>
    <row r="174" spans="1:60" x14ac:dyDescent="0.3">
      <c r="A174" s="14" t="s">
        <v>267</v>
      </c>
      <c r="B174" s="11" t="s">
        <v>248</v>
      </c>
      <c r="C174" s="4">
        <v>45973</v>
      </c>
      <c r="D174" s="4">
        <v>45975</v>
      </c>
      <c r="E174" t="s">
        <v>169</v>
      </c>
      <c r="F174" s="4">
        <v>45978</v>
      </c>
      <c r="G174">
        <v>0.24</v>
      </c>
      <c r="H174" s="4">
        <v>45980</v>
      </c>
      <c r="I174">
        <v>0.24</v>
      </c>
      <c r="J174" s="4">
        <v>45982</v>
      </c>
      <c r="K174">
        <v>0.24</v>
      </c>
      <c r="L174" s="4">
        <v>45985</v>
      </c>
      <c r="M174">
        <v>0.24</v>
      </c>
      <c r="N174" s="4">
        <v>45987</v>
      </c>
      <c r="O174">
        <v>0.3</v>
      </c>
      <c r="P174" s="4">
        <v>45989</v>
      </c>
      <c r="Q174">
        <v>0.3</v>
      </c>
      <c r="R174" s="4">
        <v>45991</v>
      </c>
      <c r="T174" s="4">
        <v>45992</v>
      </c>
      <c r="U174">
        <v>0.3</v>
      </c>
      <c r="V174" s="4">
        <v>45993</v>
      </c>
      <c r="X174" s="8">
        <v>45994</v>
      </c>
      <c r="Y174" s="9">
        <v>0.3</v>
      </c>
      <c r="Z174" s="4">
        <v>45995</v>
      </c>
      <c r="AB174" s="4">
        <v>45996</v>
      </c>
      <c r="AD174" s="4">
        <v>45997</v>
      </c>
      <c r="AF174" s="4">
        <v>45998</v>
      </c>
      <c r="AH174" s="4">
        <v>45999</v>
      </c>
      <c r="AJ174" s="4">
        <v>46000</v>
      </c>
      <c r="AL174" s="4">
        <v>46001</v>
      </c>
      <c r="AN174" s="4">
        <v>46002</v>
      </c>
      <c r="AP174" s="4">
        <v>46003</v>
      </c>
      <c r="AR174" s="4">
        <v>46006</v>
      </c>
      <c r="AT174" s="4">
        <v>46007</v>
      </c>
      <c r="AV174" s="4">
        <v>46008</v>
      </c>
      <c r="AX174" s="4">
        <v>46009</v>
      </c>
      <c r="AZ174" s="4">
        <v>46010</v>
      </c>
      <c r="BB174" s="4">
        <v>46011</v>
      </c>
      <c r="BD174" s="4">
        <v>46012</v>
      </c>
      <c r="BH174" t="s">
        <v>276</v>
      </c>
    </row>
    <row r="175" spans="1:60" x14ac:dyDescent="0.3">
      <c r="A175" s="14" t="s">
        <v>268</v>
      </c>
      <c r="B175" s="11" t="s">
        <v>248</v>
      </c>
      <c r="C175" s="4">
        <v>45973</v>
      </c>
      <c r="D175" s="4">
        <v>45975</v>
      </c>
      <c r="E175" t="s">
        <v>278</v>
      </c>
      <c r="F175" s="8">
        <v>45978</v>
      </c>
      <c r="G175" s="9">
        <v>0.24</v>
      </c>
      <c r="H175" s="4">
        <v>45980</v>
      </c>
      <c r="J175" s="4">
        <v>45982</v>
      </c>
      <c r="L175" s="4">
        <v>45985</v>
      </c>
      <c r="N175" s="4">
        <v>45987</v>
      </c>
      <c r="P175" s="4">
        <v>45989</v>
      </c>
      <c r="R175" s="4">
        <v>45991</v>
      </c>
      <c r="T175" s="4">
        <v>45992</v>
      </c>
      <c r="V175" s="4">
        <v>45993</v>
      </c>
      <c r="X175" s="4">
        <v>45994</v>
      </c>
      <c r="Z175" s="4">
        <v>45995</v>
      </c>
      <c r="AB175" s="4">
        <v>45996</v>
      </c>
      <c r="AD175" s="4">
        <v>45997</v>
      </c>
      <c r="AF175" s="4">
        <v>45998</v>
      </c>
      <c r="AH175" s="4">
        <v>45999</v>
      </c>
      <c r="AJ175" s="4">
        <v>46000</v>
      </c>
      <c r="AL175" s="4">
        <v>46001</v>
      </c>
      <c r="AN175" s="4">
        <v>46002</v>
      </c>
      <c r="AP175" s="4">
        <v>46003</v>
      </c>
      <c r="AR175" s="4">
        <v>46006</v>
      </c>
      <c r="AT175" s="4">
        <v>46007</v>
      </c>
      <c r="AV175" s="4">
        <v>46008</v>
      </c>
      <c r="AX175" s="4">
        <v>46009</v>
      </c>
      <c r="AZ175" s="4">
        <v>46010</v>
      </c>
      <c r="BB175" s="4">
        <v>46011</v>
      </c>
      <c r="BD175" s="4">
        <v>46012</v>
      </c>
      <c r="BH175" t="s">
        <v>153</v>
      </c>
    </row>
    <row r="176" spans="1:60" x14ac:dyDescent="0.3">
      <c r="A176" s="16" t="s">
        <v>269</v>
      </c>
      <c r="B176" s="11" t="s">
        <v>248</v>
      </c>
      <c r="C176" s="4">
        <v>45973</v>
      </c>
      <c r="D176" s="4">
        <v>45975</v>
      </c>
      <c r="E176" t="s">
        <v>278</v>
      </c>
      <c r="F176" s="4">
        <v>45978</v>
      </c>
      <c r="G176">
        <v>0.24</v>
      </c>
      <c r="H176" s="4">
        <v>45980</v>
      </c>
      <c r="I176">
        <v>0.24</v>
      </c>
      <c r="J176" s="4">
        <v>45982</v>
      </c>
      <c r="K176">
        <v>0.24</v>
      </c>
      <c r="L176" s="4">
        <v>45985</v>
      </c>
      <c r="M176">
        <v>0.42</v>
      </c>
      <c r="N176" s="4">
        <v>45987</v>
      </c>
      <c r="O176">
        <v>0.42</v>
      </c>
      <c r="P176" s="4">
        <v>45989</v>
      </c>
      <c r="Q176">
        <v>0.6</v>
      </c>
      <c r="R176" s="4">
        <v>45991</v>
      </c>
      <c r="T176" s="4">
        <v>45992</v>
      </c>
      <c r="U176">
        <v>0.6</v>
      </c>
      <c r="V176" s="4">
        <v>45993</v>
      </c>
      <c r="X176" s="4">
        <v>45994</v>
      </c>
      <c r="Y176">
        <v>0.6</v>
      </c>
      <c r="Z176" s="4">
        <v>45995</v>
      </c>
      <c r="AB176" s="4">
        <v>45996</v>
      </c>
      <c r="AC176">
        <v>0.6</v>
      </c>
      <c r="AD176" s="4">
        <v>45997</v>
      </c>
      <c r="AF176" s="4">
        <v>45998</v>
      </c>
      <c r="AH176" s="4">
        <v>45999</v>
      </c>
      <c r="AI176">
        <v>0.66</v>
      </c>
      <c r="AJ176" s="4">
        <v>46000</v>
      </c>
      <c r="AL176" s="4">
        <v>46001</v>
      </c>
      <c r="AM176">
        <v>0.66</v>
      </c>
      <c r="AN176" s="4">
        <v>46002</v>
      </c>
      <c r="AP176" s="4">
        <v>46003</v>
      </c>
      <c r="AQ176" t="s">
        <v>69</v>
      </c>
      <c r="AR176" s="13">
        <v>46006</v>
      </c>
      <c r="AS176" s="5" t="s">
        <v>70</v>
      </c>
      <c r="AT176" s="4">
        <v>46007</v>
      </c>
      <c r="AV176" s="4">
        <v>46008</v>
      </c>
      <c r="AX176" s="13">
        <v>46009</v>
      </c>
      <c r="AY176" s="5" t="s">
        <v>177</v>
      </c>
      <c r="AZ176" s="4">
        <v>46010</v>
      </c>
      <c r="BB176" s="4">
        <v>46011</v>
      </c>
      <c r="BD176" s="4">
        <v>46012</v>
      </c>
      <c r="BH176" t="s">
        <v>276</v>
      </c>
    </row>
    <row r="177" spans="1:60" x14ac:dyDescent="0.3">
      <c r="A177" s="11" t="s">
        <v>270</v>
      </c>
      <c r="B177" s="11" t="s">
        <v>248</v>
      </c>
      <c r="C177" s="4">
        <v>45973</v>
      </c>
      <c r="D177" s="4">
        <v>45975</v>
      </c>
      <c r="E177" t="s">
        <v>169</v>
      </c>
      <c r="F177" s="4">
        <v>45978</v>
      </c>
      <c r="H177" s="4">
        <v>45980</v>
      </c>
      <c r="J177" s="4">
        <v>45982</v>
      </c>
      <c r="L177" s="4">
        <v>45985</v>
      </c>
      <c r="N177" s="4">
        <v>45987</v>
      </c>
      <c r="P177" s="4">
        <v>45989</v>
      </c>
      <c r="R177" s="4">
        <v>45991</v>
      </c>
      <c r="T177" s="4">
        <v>45992</v>
      </c>
      <c r="V177" s="4">
        <v>45993</v>
      </c>
      <c r="X177" s="4">
        <v>45994</v>
      </c>
      <c r="Z177" s="4">
        <v>45995</v>
      </c>
      <c r="AB177" s="4">
        <v>45996</v>
      </c>
      <c r="AD177" s="4">
        <v>45997</v>
      </c>
      <c r="AF177" s="4">
        <v>45998</v>
      </c>
      <c r="AH177" s="4">
        <v>45999</v>
      </c>
      <c r="AJ177" s="4">
        <v>46000</v>
      </c>
      <c r="AL177" s="4">
        <v>46001</v>
      </c>
      <c r="AN177" s="4">
        <v>46002</v>
      </c>
      <c r="AP177" s="4">
        <v>46003</v>
      </c>
      <c r="AR177" s="4">
        <v>46006</v>
      </c>
      <c r="AT177" s="4">
        <v>46007</v>
      </c>
      <c r="AV177" s="4">
        <v>46008</v>
      </c>
      <c r="AX177" s="4">
        <v>46009</v>
      </c>
      <c r="AZ177" s="4">
        <v>46010</v>
      </c>
      <c r="BB177" s="4">
        <v>46011</v>
      </c>
      <c r="BD177" s="4">
        <v>46012</v>
      </c>
      <c r="BH177" t="s">
        <v>155</v>
      </c>
    </row>
    <row r="178" spans="1:60" x14ac:dyDescent="0.3">
      <c r="A178" s="14" t="s">
        <v>271</v>
      </c>
      <c r="B178" s="11" t="s">
        <v>248</v>
      </c>
      <c r="C178" s="4">
        <v>45973</v>
      </c>
      <c r="D178" s="4">
        <v>45975</v>
      </c>
      <c r="E178" t="s">
        <v>278</v>
      </c>
      <c r="F178" s="4">
        <v>45978</v>
      </c>
      <c r="H178" s="8">
        <v>45980</v>
      </c>
      <c r="I178" s="9">
        <v>0.24</v>
      </c>
      <c r="J178" s="4">
        <v>45982</v>
      </c>
      <c r="L178" s="4">
        <v>45985</v>
      </c>
      <c r="N178" s="4">
        <v>45987</v>
      </c>
      <c r="P178" s="4">
        <v>45989</v>
      </c>
      <c r="R178" s="4">
        <v>45991</v>
      </c>
      <c r="T178" s="4">
        <v>45992</v>
      </c>
      <c r="V178" s="4">
        <v>45993</v>
      </c>
      <c r="X178" s="4">
        <v>45994</v>
      </c>
      <c r="Z178" s="4">
        <v>45995</v>
      </c>
      <c r="AB178" s="4">
        <v>45996</v>
      </c>
      <c r="AD178" s="4">
        <v>45997</v>
      </c>
      <c r="AF178" s="4">
        <v>45998</v>
      </c>
      <c r="AH178" s="4">
        <v>45999</v>
      </c>
      <c r="AJ178" s="4">
        <v>46000</v>
      </c>
      <c r="AL178" s="4">
        <v>46001</v>
      </c>
      <c r="AN178" s="4">
        <v>46002</v>
      </c>
      <c r="AP178" s="4">
        <v>46003</v>
      </c>
      <c r="AR178" s="4">
        <v>46006</v>
      </c>
      <c r="AT178" s="4">
        <v>46007</v>
      </c>
      <c r="AV178" s="4">
        <v>46008</v>
      </c>
      <c r="AX178" s="4">
        <v>46009</v>
      </c>
      <c r="AZ178" s="4">
        <v>46010</v>
      </c>
      <c r="BB178" s="4">
        <v>46011</v>
      </c>
      <c r="BD178" s="4">
        <v>46012</v>
      </c>
      <c r="BH178" t="s">
        <v>155</v>
      </c>
    </row>
    <row r="179" spans="1:60" x14ac:dyDescent="0.3">
      <c r="A179" s="14" t="s">
        <v>272</v>
      </c>
      <c r="B179" s="11" t="s">
        <v>248</v>
      </c>
      <c r="C179" s="4">
        <v>45973</v>
      </c>
      <c r="D179" s="4">
        <v>45975</v>
      </c>
      <c r="E179" t="s">
        <v>278</v>
      </c>
      <c r="F179" s="4">
        <v>45978</v>
      </c>
      <c r="H179" s="8">
        <v>45980</v>
      </c>
      <c r="I179" s="9">
        <v>0.24</v>
      </c>
      <c r="J179" s="4">
        <v>45982</v>
      </c>
      <c r="L179" s="4">
        <v>45985</v>
      </c>
      <c r="N179" s="4">
        <v>45987</v>
      </c>
      <c r="P179" s="4">
        <v>45989</v>
      </c>
      <c r="R179" s="4">
        <v>45991</v>
      </c>
      <c r="T179" s="4">
        <v>45992</v>
      </c>
      <c r="V179" s="4">
        <v>45993</v>
      </c>
      <c r="X179" s="4">
        <v>45994</v>
      </c>
      <c r="Z179" s="4">
        <v>45995</v>
      </c>
      <c r="AB179" s="4">
        <v>45996</v>
      </c>
      <c r="AD179" s="4">
        <v>45997</v>
      </c>
      <c r="AF179" s="4">
        <v>45998</v>
      </c>
      <c r="AH179" s="4">
        <v>45999</v>
      </c>
      <c r="AJ179" s="4">
        <v>46000</v>
      </c>
      <c r="AL179" s="4">
        <v>46001</v>
      </c>
      <c r="AN179" s="4">
        <v>46002</v>
      </c>
      <c r="AP179" s="4">
        <v>46003</v>
      </c>
      <c r="AR179" s="4">
        <v>46006</v>
      </c>
      <c r="AT179" s="4">
        <v>46007</v>
      </c>
      <c r="AV179" s="4">
        <v>46008</v>
      </c>
      <c r="AX179" s="4">
        <v>46009</v>
      </c>
      <c r="AZ179" s="4">
        <v>46010</v>
      </c>
      <c r="BB179" s="4">
        <v>46011</v>
      </c>
      <c r="BD179" s="4">
        <v>46012</v>
      </c>
    </row>
    <row r="181" spans="1:60" x14ac:dyDescent="0.3">
      <c r="A181" t="s">
        <v>0</v>
      </c>
      <c r="B181" t="s">
        <v>150</v>
      </c>
      <c r="C181" t="s">
        <v>13</v>
      </c>
      <c r="D181" t="s">
        <v>218</v>
      </c>
      <c r="E181" t="s">
        <v>219</v>
      </c>
      <c r="F181" t="s">
        <v>4</v>
      </c>
      <c r="G181" t="s">
        <v>163</v>
      </c>
      <c r="H181" t="s">
        <v>5</v>
      </c>
      <c r="I181" t="s">
        <v>164</v>
      </c>
      <c r="J181" t="s">
        <v>6</v>
      </c>
      <c r="K181" t="s">
        <v>166</v>
      </c>
      <c r="L181" t="s">
        <v>7</v>
      </c>
      <c r="M181" t="s">
        <v>168</v>
      </c>
      <c r="N181" t="s">
        <v>8</v>
      </c>
      <c r="O181" t="s">
        <v>170</v>
      </c>
      <c r="P181" t="s">
        <v>9</v>
      </c>
      <c r="Q181" t="s">
        <v>171</v>
      </c>
      <c r="R181" t="s">
        <v>9</v>
      </c>
      <c r="S181" t="s">
        <v>171</v>
      </c>
      <c r="T181" t="s">
        <v>10</v>
      </c>
      <c r="U181" t="s">
        <v>173</v>
      </c>
      <c r="V181" t="s">
        <v>11</v>
      </c>
      <c r="W181" t="s">
        <v>174</v>
      </c>
      <c r="X181" t="s">
        <v>12</v>
      </c>
      <c r="Y181" t="s">
        <v>175</v>
      </c>
      <c r="Z181" t="s">
        <v>73</v>
      </c>
      <c r="AA181" t="s">
        <v>176</v>
      </c>
      <c r="AB181" t="s">
        <v>179</v>
      </c>
      <c r="AC181" t="s">
        <v>180</v>
      </c>
      <c r="AD181" t="s">
        <v>181</v>
      </c>
      <c r="AE181" t="s">
        <v>182</v>
      </c>
      <c r="AF181" t="s">
        <v>183</v>
      </c>
      <c r="AG181" t="s">
        <v>184</v>
      </c>
      <c r="AH181" t="s">
        <v>185</v>
      </c>
      <c r="AI181" t="s">
        <v>186</v>
      </c>
      <c r="AJ181" t="s">
        <v>211</v>
      </c>
      <c r="AK181" t="s">
        <v>212</v>
      </c>
      <c r="AL181" t="s">
        <v>213</v>
      </c>
      <c r="AM181" t="s">
        <v>214</v>
      </c>
      <c r="AN181" t="s">
        <v>215</v>
      </c>
      <c r="AO181" t="s">
        <v>216</v>
      </c>
      <c r="AP181" t="s">
        <v>217</v>
      </c>
      <c r="AQ181" t="s">
        <v>220</v>
      </c>
      <c r="AR181" t="s">
        <v>221</v>
      </c>
      <c r="AS181" t="s">
        <v>222</v>
      </c>
      <c r="AT181" t="s">
        <v>284</v>
      </c>
      <c r="AU181" t="s">
        <v>285</v>
      </c>
      <c r="AV181" t="s">
        <v>286</v>
      </c>
      <c r="AW181" t="s">
        <v>287</v>
      </c>
      <c r="AX181" t="s">
        <v>288</v>
      </c>
      <c r="AY181" t="s">
        <v>289</v>
      </c>
      <c r="AZ181" t="s">
        <v>290</v>
      </c>
      <c r="BA181" t="s">
        <v>291</v>
      </c>
      <c r="BB181" t="s">
        <v>292</v>
      </c>
      <c r="BC181" t="s">
        <v>293</v>
      </c>
      <c r="BD181" t="s">
        <v>294</v>
      </c>
      <c r="BE181" t="s">
        <v>296</v>
      </c>
      <c r="BF181" t="s">
        <v>297</v>
      </c>
      <c r="BG181" t="s">
        <v>298</v>
      </c>
    </row>
    <row r="182" spans="1:60" x14ac:dyDescent="0.3">
      <c r="A182" s="18" t="s">
        <v>300</v>
      </c>
      <c r="B182" t="s">
        <v>125</v>
      </c>
      <c r="C182" s="4">
        <v>46042</v>
      </c>
      <c r="H182" s="4">
        <v>46045</v>
      </c>
    </row>
    <row r="183" spans="1:60" x14ac:dyDescent="0.3">
      <c r="A183" s="9" t="s">
        <v>301</v>
      </c>
      <c r="B183" t="s">
        <v>125</v>
      </c>
      <c r="C183" s="4">
        <v>46042</v>
      </c>
      <c r="D183" s="8">
        <v>46043</v>
      </c>
      <c r="E183" s="9">
        <v>0.24</v>
      </c>
      <c r="H183" s="4">
        <v>46045</v>
      </c>
    </row>
    <row r="184" spans="1:60" x14ac:dyDescent="0.3">
      <c r="A184" s="5" t="s">
        <v>302</v>
      </c>
      <c r="B184" t="s">
        <v>125</v>
      </c>
      <c r="C184" s="4">
        <v>46042</v>
      </c>
      <c r="D184" s="4">
        <v>46043</v>
      </c>
      <c r="E184" t="s">
        <v>278</v>
      </c>
      <c r="H184" s="4">
        <v>46045</v>
      </c>
      <c r="I184" t="s">
        <v>278</v>
      </c>
      <c r="J184" s="4">
        <v>46061</v>
      </c>
      <c r="K184" t="s">
        <v>348</v>
      </c>
      <c r="L184" s="4">
        <v>46066</v>
      </c>
      <c r="M184" t="s">
        <v>75</v>
      </c>
    </row>
    <row r="185" spans="1:60" x14ac:dyDescent="0.3">
      <c r="A185" s="5" t="s">
        <v>303</v>
      </c>
      <c r="B185" t="s">
        <v>125</v>
      </c>
      <c r="C185" s="4">
        <v>46042</v>
      </c>
      <c r="D185" s="4">
        <v>46043</v>
      </c>
      <c r="E185" s="10" t="s">
        <v>169</v>
      </c>
      <c r="H185" s="4">
        <v>46045</v>
      </c>
      <c r="I185" t="s">
        <v>278</v>
      </c>
      <c r="J185" s="4">
        <v>46064</v>
      </c>
      <c r="K185" t="s">
        <v>348</v>
      </c>
      <c r="L185" s="4">
        <v>46070</v>
      </c>
      <c r="M185" t="s">
        <v>75</v>
      </c>
    </row>
    <row r="186" spans="1:60" x14ac:dyDescent="0.3">
      <c r="A186" s="5" t="s">
        <v>304</v>
      </c>
      <c r="B186" t="s">
        <v>125</v>
      </c>
      <c r="C186" s="4">
        <v>46042</v>
      </c>
      <c r="D186" s="4">
        <v>46043</v>
      </c>
      <c r="E186" t="s">
        <v>278</v>
      </c>
      <c r="H186" s="4">
        <v>46045</v>
      </c>
      <c r="I186" t="s">
        <v>278</v>
      </c>
      <c r="J186" s="4">
        <v>46064</v>
      </c>
      <c r="K186" t="s">
        <v>348</v>
      </c>
      <c r="L186" s="4">
        <v>46069</v>
      </c>
      <c r="M186" t="s">
        <v>75</v>
      </c>
    </row>
    <row r="187" spans="1:60" x14ac:dyDescent="0.3">
      <c r="A187" s="5" t="s">
        <v>305</v>
      </c>
      <c r="B187" t="s">
        <v>125</v>
      </c>
      <c r="C187" s="4">
        <v>46042</v>
      </c>
      <c r="D187" s="4">
        <v>46043</v>
      </c>
      <c r="E187" t="s">
        <v>278</v>
      </c>
      <c r="H187" s="4">
        <v>46045</v>
      </c>
      <c r="I187" t="s">
        <v>278</v>
      </c>
      <c r="J187" s="4">
        <v>46060</v>
      </c>
      <c r="K187" t="s">
        <v>348</v>
      </c>
      <c r="L187" s="4">
        <v>46065</v>
      </c>
      <c r="M187" t="s">
        <v>75</v>
      </c>
    </row>
    <row r="188" spans="1:60" x14ac:dyDescent="0.3">
      <c r="A188" s="9" t="s">
        <v>306</v>
      </c>
      <c r="B188" t="s">
        <v>125</v>
      </c>
      <c r="C188" s="4">
        <v>46042</v>
      </c>
      <c r="D188" s="4">
        <v>46043</v>
      </c>
      <c r="E188" t="s">
        <v>278</v>
      </c>
      <c r="H188" s="4">
        <v>46045</v>
      </c>
      <c r="I188" t="s">
        <v>278</v>
      </c>
      <c r="J188" s="8">
        <v>46060</v>
      </c>
      <c r="K188" s="9">
        <v>0.62</v>
      </c>
    </row>
    <row r="189" spans="1:60" x14ac:dyDescent="0.3">
      <c r="A189" s="9" t="s">
        <v>307</v>
      </c>
      <c r="B189" t="s">
        <v>125</v>
      </c>
      <c r="C189" s="4">
        <v>46042</v>
      </c>
      <c r="D189" s="8">
        <v>46043</v>
      </c>
      <c r="E189" s="9">
        <v>0.24</v>
      </c>
      <c r="H189" s="4">
        <v>46045</v>
      </c>
    </row>
    <row r="190" spans="1:60" x14ac:dyDescent="0.3">
      <c r="A190" s="5" t="s">
        <v>308</v>
      </c>
      <c r="B190" t="s">
        <v>125</v>
      </c>
      <c r="C190" s="4">
        <v>46042</v>
      </c>
      <c r="D190" s="4">
        <v>46043</v>
      </c>
      <c r="E190" t="s">
        <v>278</v>
      </c>
      <c r="H190" s="4">
        <v>46045</v>
      </c>
      <c r="I190" t="s">
        <v>278</v>
      </c>
      <c r="J190" s="4">
        <v>46059</v>
      </c>
      <c r="K190" t="s">
        <v>348</v>
      </c>
      <c r="L190" s="4">
        <v>46064</v>
      </c>
      <c r="M190" t="s">
        <v>75</v>
      </c>
    </row>
    <row r="191" spans="1:60" x14ac:dyDescent="0.3">
      <c r="A191" s="18" t="s">
        <v>309</v>
      </c>
      <c r="B191" t="s">
        <v>125</v>
      </c>
      <c r="C191" s="4">
        <v>46042</v>
      </c>
      <c r="D191" s="4">
        <v>46043</v>
      </c>
      <c r="H191" s="4">
        <v>46045</v>
      </c>
    </row>
    <row r="192" spans="1:60" x14ac:dyDescent="0.3">
      <c r="A192" s="9" t="s">
        <v>310</v>
      </c>
      <c r="B192" t="s">
        <v>125</v>
      </c>
      <c r="C192" s="4">
        <v>46042</v>
      </c>
      <c r="D192" s="4">
        <v>46043</v>
      </c>
      <c r="E192" t="s">
        <v>278</v>
      </c>
      <c r="H192" s="4">
        <v>46045</v>
      </c>
      <c r="I192" t="s">
        <v>169</v>
      </c>
      <c r="J192" s="8">
        <v>46052</v>
      </c>
      <c r="K192" s="9">
        <v>0.24</v>
      </c>
    </row>
    <row r="193" spans="1:13" x14ac:dyDescent="0.3">
      <c r="A193" s="9" t="s">
        <v>311</v>
      </c>
      <c r="B193" t="s">
        <v>125</v>
      </c>
      <c r="C193" s="4">
        <v>46042</v>
      </c>
      <c r="D193" s="4">
        <v>46043</v>
      </c>
      <c r="E193" t="s">
        <v>278</v>
      </c>
      <c r="H193" s="4">
        <v>46045</v>
      </c>
      <c r="I193" t="s">
        <v>169</v>
      </c>
      <c r="J193" s="8">
        <v>46048</v>
      </c>
      <c r="K193" s="9">
        <v>0.24</v>
      </c>
    </row>
    <row r="194" spans="1:13" x14ac:dyDescent="0.3">
      <c r="A194" s="9" t="s">
        <v>312</v>
      </c>
      <c r="B194" t="s">
        <v>125</v>
      </c>
      <c r="C194" s="4">
        <v>46042</v>
      </c>
      <c r="D194" s="4">
        <v>46043</v>
      </c>
      <c r="E194" s="10" t="s">
        <v>169</v>
      </c>
      <c r="F194" s="4">
        <v>46044</v>
      </c>
      <c r="G194" s="10" t="s">
        <v>169</v>
      </c>
      <c r="H194" s="4">
        <v>46045</v>
      </c>
      <c r="I194" s="20" t="s">
        <v>169</v>
      </c>
      <c r="J194" s="8">
        <v>46048</v>
      </c>
      <c r="K194" s="9">
        <v>0.24</v>
      </c>
    </row>
    <row r="195" spans="1:13" x14ac:dyDescent="0.3">
      <c r="A195" s="9" t="s">
        <v>313</v>
      </c>
      <c r="B195" t="s">
        <v>125</v>
      </c>
      <c r="C195" s="4">
        <v>46042</v>
      </c>
      <c r="D195" s="4">
        <v>46043</v>
      </c>
      <c r="E195" t="s">
        <v>278</v>
      </c>
      <c r="H195" s="4">
        <v>46045</v>
      </c>
      <c r="I195" t="s">
        <v>278</v>
      </c>
      <c r="J195" s="8">
        <v>46052</v>
      </c>
      <c r="K195" s="9">
        <v>0.24</v>
      </c>
    </row>
    <row r="196" spans="1:13" x14ac:dyDescent="0.3">
      <c r="A196" s="9" t="s">
        <v>314</v>
      </c>
      <c r="B196" t="s">
        <v>125</v>
      </c>
      <c r="C196" s="4">
        <v>46042</v>
      </c>
      <c r="D196" s="4">
        <v>46043</v>
      </c>
      <c r="E196" s="10" t="s">
        <v>169</v>
      </c>
      <c r="F196" s="4">
        <v>46044</v>
      </c>
      <c r="G196" s="10" t="s">
        <v>169</v>
      </c>
      <c r="H196" s="4">
        <v>46045</v>
      </c>
      <c r="I196" s="20" t="s">
        <v>169</v>
      </c>
      <c r="J196" s="8">
        <v>46058</v>
      </c>
      <c r="K196" s="9">
        <v>0.48</v>
      </c>
    </row>
    <row r="197" spans="1:13" x14ac:dyDescent="0.3">
      <c r="A197" s="9" t="s">
        <v>315</v>
      </c>
      <c r="B197" t="s">
        <v>125</v>
      </c>
      <c r="C197" s="4">
        <v>46042</v>
      </c>
      <c r="D197" s="4">
        <v>46043</v>
      </c>
      <c r="E197" t="s">
        <v>278</v>
      </c>
      <c r="H197" s="8">
        <v>46045</v>
      </c>
      <c r="I197" s="9">
        <v>0.24</v>
      </c>
    </row>
    <row r="198" spans="1:13" x14ac:dyDescent="0.3">
      <c r="A198" s="9" t="s">
        <v>316</v>
      </c>
      <c r="B198" t="s">
        <v>125</v>
      </c>
      <c r="C198" s="4">
        <v>46042</v>
      </c>
      <c r="D198" s="4">
        <v>46043</v>
      </c>
      <c r="E198" s="10" t="s">
        <v>169</v>
      </c>
      <c r="H198" s="8">
        <v>46045</v>
      </c>
      <c r="I198" s="9">
        <v>0.24</v>
      </c>
    </row>
    <row r="199" spans="1:13" x14ac:dyDescent="0.3">
      <c r="A199" s="9" t="s">
        <v>317</v>
      </c>
      <c r="B199" t="s">
        <v>125</v>
      </c>
      <c r="C199" s="4">
        <v>46042</v>
      </c>
      <c r="D199" s="4">
        <v>46043</v>
      </c>
      <c r="E199" t="s">
        <v>278</v>
      </c>
      <c r="H199" s="4">
        <v>46045</v>
      </c>
      <c r="I199" t="s">
        <v>169</v>
      </c>
      <c r="J199" s="8">
        <v>46052</v>
      </c>
      <c r="K199" s="9">
        <v>0.24</v>
      </c>
    </row>
    <row r="200" spans="1:13" x14ac:dyDescent="0.3">
      <c r="A200" s="9" t="s">
        <v>318</v>
      </c>
      <c r="B200" t="s">
        <v>125</v>
      </c>
      <c r="C200" s="4">
        <v>46042</v>
      </c>
      <c r="D200" s="4">
        <v>46043</v>
      </c>
      <c r="E200" s="10" t="s">
        <v>169</v>
      </c>
      <c r="H200" s="4">
        <v>46045</v>
      </c>
      <c r="I200" s="20" t="s">
        <v>169</v>
      </c>
      <c r="J200" s="8">
        <v>46048</v>
      </c>
      <c r="K200" s="9">
        <v>0.24</v>
      </c>
    </row>
    <row r="201" spans="1:13" x14ac:dyDescent="0.3">
      <c r="A201" s="19" t="s">
        <v>319</v>
      </c>
      <c r="B201" t="s">
        <v>125</v>
      </c>
      <c r="C201" s="4">
        <v>46042</v>
      </c>
      <c r="D201" s="8">
        <v>46043</v>
      </c>
      <c r="E201" s="9">
        <v>0.24</v>
      </c>
      <c r="H201" s="4">
        <v>46045</v>
      </c>
    </row>
    <row r="202" spans="1:13" x14ac:dyDescent="0.3">
      <c r="A202" s="19" t="s">
        <v>320</v>
      </c>
      <c r="B202" t="s">
        <v>125</v>
      </c>
      <c r="C202" s="4">
        <v>46042</v>
      </c>
      <c r="D202" s="8">
        <v>46043</v>
      </c>
      <c r="E202" s="9">
        <v>0.24</v>
      </c>
      <c r="H202" s="4">
        <v>46045</v>
      </c>
    </row>
    <row r="203" spans="1:13" x14ac:dyDescent="0.3">
      <c r="A203" s="9" t="s">
        <v>321</v>
      </c>
      <c r="B203" t="s">
        <v>125</v>
      </c>
      <c r="C203" s="4">
        <v>46042</v>
      </c>
      <c r="D203" s="4">
        <v>46043</v>
      </c>
      <c r="E203" s="10" t="s">
        <v>169</v>
      </c>
      <c r="H203" s="4">
        <v>46045</v>
      </c>
      <c r="I203" s="20" t="s">
        <v>169</v>
      </c>
      <c r="J203" s="8">
        <v>46048</v>
      </c>
      <c r="K203" s="9">
        <v>0.24</v>
      </c>
    </row>
    <row r="204" spans="1:13" x14ac:dyDescent="0.3">
      <c r="A204" s="9" t="s">
        <v>322</v>
      </c>
      <c r="B204" t="s">
        <v>125</v>
      </c>
      <c r="C204" s="4">
        <v>46042</v>
      </c>
      <c r="D204" s="4">
        <v>46043</v>
      </c>
      <c r="E204" s="10" t="s">
        <v>169</v>
      </c>
      <c r="H204" s="4">
        <v>46045</v>
      </c>
      <c r="I204" s="20" t="s">
        <v>169</v>
      </c>
      <c r="J204" s="8">
        <v>46048</v>
      </c>
      <c r="K204" s="9">
        <v>0.24</v>
      </c>
    </row>
    <row r="205" spans="1:13" x14ac:dyDescent="0.3">
      <c r="A205" s="9" t="s">
        <v>323</v>
      </c>
      <c r="B205" t="s">
        <v>125</v>
      </c>
      <c r="C205" s="4">
        <v>46042</v>
      </c>
      <c r="D205" s="4">
        <v>46043</v>
      </c>
      <c r="E205" t="s">
        <v>278</v>
      </c>
      <c r="H205" s="4">
        <v>46045</v>
      </c>
      <c r="I205" t="s">
        <v>169</v>
      </c>
      <c r="J205" s="8">
        <v>46056</v>
      </c>
      <c r="K205" s="9">
        <v>0.48</v>
      </c>
    </row>
    <row r="206" spans="1:13" x14ac:dyDescent="0.3">
      <c r="A206" s="5" t="s">
        <v>324</v>
      </c>
      <c r="B206" t="s">
        <v>14</v>
      </c>
      <c r="C206" s="4">
        <v>46042</v>
      </c>
      <c r="D206" s="4">
        <v>46043</v>
      </c>
      <c r="E206" t="s">
        <v>278</v>
      </c>
      <c r="H206" s="4">
        <v>46045</v>
      </c>
      <c r="I206" t="s">
        <v>278</v>
      </c>
      <c r="J206" s="4">
        <v>46058</v>
      </c>
      <c r="K206" t="s">
        <v>348</v>
      </c>
      <c r="L206" s="4">
        <v>46063</v>
      </c>
      <c r="M206" t="s">
        <v>75</v>
      </c>
    </row>
    <row r="207" spans="1:13" x14ac:dyDescent="0.3">
      <c r="A207" s="5" t="s">
        <v>325</v>
      </c>
      <c r="B207" t="s">
        <v>14</v>
      </c>
      <c r="C207" s="4">
        <v>46042</v>
      </c>
      <c r="D207" s="4">
        <v>46043</v>
      </c>
      <c r="E207" t="s">
        <v>278</v>
      </c>
      <c r="H207" s="4">
        <v>46045</v>
      </c>
      <c r="I207" t="s">
        <v>278</v>
      </c>
      <c r="J207" s="4">
        <v>46058</v>
      </c>
      <c r="K207" t="s">
        <v>348</v>
      </c>
      <c r="L207" s="4">
        <v>46063</v>
      </c>
      <c r="M207" t="s">
        <v>75</v>
      </c>
    </row>
    <row r="208" spans="1:13" x14ac:dyDescent="0.3">
      <c r="A208" s="5" t="s">
        <v>326</v>
      </c>
      <c r="B208" t="s">
        <v>14</v>
      </c>
      <c r="C208" s="4">
        <v>46042</v>
      </c>
      <c r="D208" s="4">
        <v>46043</v>
      </c>
      <c r="E208" t="s">
        <v>278</v>
      </c>
      <c r="H208" s="4">
        <v>46045</v>
      </c>
      <c r="I208" t="s">
        <v>278</v>
      </c>
      <c r="J208" s="4">
        <v>46059</v>
      </c>
      <c r="K208" t="s">
        <v>348</v>
      </c>
      <c r="L208" s="4">
        <v>46065</v>
      </c>
      <c r="M208" t="s">
        <v>75</v>
      </c>
    </row>
    <row r="209" spans="1:13" x14ac:dyDescent="0.3">
      <c r="A209" s="5" t="s">
        <v>327</v>
      </c>
      <c r="B209" t="s">
        <v>14</v>
      </c>
      <c r="C209" s="4">
        <v>46042</v>
      </c>
      <c r="D209" s="4">
        <v>46043</v>
      </c>
      <c r="E209" t="s">
        <v>278</v>
      </c>
      <c r="H209" s="4">
        <v>46045</v>
      </c>
      <c r="I209" t="s">
        <v>278</v>
      </c>
      <c r="J209" s="4">
        <v>46058</v>
      </c>
      <c r="K209" t="s">
        <v>348</v>
      </c>
      <c r="L209" s="4">
        <v>46064</v>
      </c>
      <c r="M209" t="s">
        <v>75</v>
      </c>
    </row>
    <row r="210" spans="1:13" x14ac:dyDescent="0.3">
      <c r="A210" s="5" t="s">
        <v>328</v>
      </c>
      <c r="B210" t="s">
        <v>14</v>
      </c>
      <c r="C210" s="4">
        <v>46042</v>
      </c>
      <c r="D210" s="4">
        <v>46043</v>
      </c>
      <c r="E210" t="s">
        <v>278</v>
      </c>
      <c r="H210" s="4">
        <v>46045</v>
      </c>
      <c r="I210" t="s">
        <v>278</v>
      </c>
      <c r="J210" s="4">
        <v>46059</v>
      </c>
      <c r="K210" t="s">
        <v>348</v>
      </c>
      <c r="L210" s="4">
        <v>46065</v>
      </c>
      <c r="M210" t="s">
        <v>75</v>
      </c>
    </row>
    <row r="211" spans="1:13" x14ac:dyDescent="0.3">
      <c r="A211" s="5" t="s">
        <v>329</v>
      </c>
      <c r="B211" t="s">
        <v>14</v>
      </c>
      <c r="C211" s="4">
        <v>46042</v>
      </c>
      <c r="D211" s="4">
        <v>46043</v>
      </c>
      <c r="E211" t="s">
        <v>278</v>
      </c>
      <c r="H211" s="4">
        <v>46045</v>
      </c>
      <c r="I211" t="s">
        <v>278</v>
      </c>
      <c r="J211" s="4">
        <v>46058</v>
      </c>
      <c r="K211" t="s">
        <v>348</v>
      </c>
      <c r="L211" s="4">
        <v>46063</v>
      </c>
      <c r="M211" t="s">
        <v>75</v>
      </c>
    </row>
    <row r="212" spans="1:13" x14ac:dyDescent="0.3">
      <c r="A212" s="5" t="s">
        <v>330</v>
      </c>
      <c r="B212" t="s">
        <v>14</v>
      </c>
      <c r="C212" s="4">
        <v>46042</v>
      </c>
      <c r="D212" s="4">
        <v>46043</v>
      </c>
      <c r="E212" t="s">
        <v>278</v>
      </c>
      <c r="H212" s="4">
        <v>46045</v>
      </c>
      <c r="I212" t="s">
        <v>278</v>
      </c>
      <c r="J212" s="4">
        <v>46058</v>
      </c>
      <c r="K212" t="s">
        <v>348</v>
      </c>
      <c r="L212" s="4">
        <v>46063</v>
      </c>
      <c r="M212" t="s">
        <v>75</v>
      </c>
    </row>
    <row r="213" spans="1:13" x14ac:dyDescent="0.3">
      <c r="A213" s="5" t="s">
        <v>331</v>
      </c>
      <c r="B213" t="s">
        <v>14</v>
      </c>
      <c r="C213" s="4">
        <v>46042</v>
      </c>
      <c r="D213" s="4">
        <v>46043</v>
      </c>
      <c r="E213" t="s">
        <v>278</v>
      </c>
      <c r="H213" s="4">
        <v>46045</v>
      </c>
      <c r="I213" t="s">
        <v>278</v>
      </c>
      <c r="J213" s="4">
        <v>46057</v>
      </c>
      <c r="K213" t="s">
        <v>348</v>
      </c>
      <c r="L213" s="4">
        <v>46062</v>
      </c>
      <c r="M213" t="s">
        <v>75</v>
      </c>
    </row>
    <row r="214" spans="1:13" x14ac:dyDescent="0.3">
      <c r="A214" s="5" t="s">
        <v>332</v>
      </c>
      <c r="B214" t="s">
        <v>14</v>
      </c>
      <c r="C214" s="4">
        <v>46042</v>
      </c>
      <c r="D214" s="4">
        <v>46043</v>
      </c>
      <c r="E214" t="s">
        <v>278</v>
      </c>
      <c r="H214" s="4">
        <v>46045</v>
      </c>
      <c r="I214" t="s">
        <v>278</v>
      </c>
      <c r="J214" s="4">
        <v>46059</v>
      </c>
      <c r="K214" t="s">
        <v>348</v>
      </c>
      <c r="L214" s="4">
        <v>46065</v>
      </c>
      <c r="M214" t="s">
        <v>75</v>
      </c>
    </row>
    <row r="215" spans="1:13" x14ac:dyDescent="0.3">
      <c r="A215" s="5" t="s">
        <v>333</v>
      </c>
      <c r="B215" t="s">
        <v>14</v>
      </c>
      <c r="C215" s="4">
        <v>46042</v>
      </c>
      <c r="D215" s="4">
        <v>46043</v>
      </c>
      <c r="E215" t="s">
        <v>278</v>
      </c>
      <c r="H215" s="4">
        <v>46045</v>
      </c>
      <c r="I215" t="s">
        <v>278</v>
      </c>
      <c r="J215" s="4">
        <v>46057</v>
      </c>
      <c r="K215" t="s">
        <v>348</v>
      </c>
      <c r="L215" s="4">
        <v>46062</v>
      </c>
      <c r="M215" t="s">
        <v>75</v>
      </c>
    </row>
    <row r="216" spans="1:13" x14ac:dyDescent="0.3">
      <c r="A216" s="5" t="s">
        <v>334</v>
      </c>
      <c r="B216" t="s">
        <v>14</v>
      </c>
      <c r="C216" s="4">
        <v>46042</v>
      </c>
      <c r="D216" s="4">
        <v>46043</v>
      </c>
      <c r="E216" t="s">
        <v>278</v>
      </c>
      <c r="H216" s="4">
        <v>46045</v>
      </c>
      <c r="I216" t="s">
        <v>278</v>
      </c>
      <c r="J216" s="4">
        <v>46057</v>
      </c>
      <c r="K216" t="s">
        <v>348</v>
      </c>
      <c r="L216" s="4">
        <v>46062</v>
      </c>
      <c r="M216" t="s">
        <v>75</v>
      </c>
    </row>
    <row r="217" spans="1:13" x14ac:dyDescent="0.3">
      <c r="A217" s="5" t="s">
        <v>335</v>
      </c>
      <c r="B217" t="s">
        <v>14</v>
      </c>
      <c r="C217" s="4">
        <v>46042</v>
      </c>
      <c r="D217" s="4">
        <v>46043</v>
      </c>
      <c r="E217" t="s">
        <v>278</v>
      </c>
      <c r="H217" s="4">
        <v>46045</v>
      </c>
      <c r="I217" t="s">
        <v>278</v>
      </c>
      <c r="J217" s="4">
        <v>46059</v>
      </c>
      <c r="K217" t="s">
        <v>348</v>
      </c>
      <c r="L217" s="4">
        <v>46065</v>
      </c>
      <c r="M217" t="s">
        <v>75</v>
      </c>
    </row>
    <row r="218" spans="1:13" x14ac:dyDescent="0.3">
      <c r="A218" s="9" t="s">
        <v>336</v>
      </c>
      <c r="B218" t="s">
        <v>14</v>
      </c>
      <c r="C218" s="4">
        <v>46042</v>
      </c>
      <c r="D218" s="4">
        <v>46043</v>
      </c>
      <c r="E218" t="s">
        <v>278</v>
      </c>
      <c r="H218" s="4">
        <v>46045</v>
      </c>
      <c r="I218" t="s">
        <v>169</v>
      </c>
      <c r="J218" s="8">
        <v>46048</v>
      </c>
      <c r="K218" s="9">
        <v>0.24</v>
      </c>
    </row>
    <row r="219" spans="1:13" x14ac:dyDescent="0.3">
      <c r="A219" s="5" t="s">
        <v>337</v>
      </c>
      <c r="B219" t="s">
        <v>14</v>
      </c>
      <c r="C219" s="4">
        <v>46042</v>
      </c>
      <c r="D219" s="4">
        <v>46043</v>
      </c>
      <c r="E219" t="s">
        <v>278</v>
      </c>
      <c r="H219" s="4">
        <v>46045</v>
      </c>
      <c r="I219" t="s">
        <v>278</v>
      </c>
      <c r="J219" s="4">
        <v>46059</v>
      </c>
      <c r="K219" t="s">
        <v>348</v>
      </c>
      <c r="L219" s="4">
        <v>46064</v>
      </c>
      <c r="M219" t="s">
        <v>75</v>
      </c>
    </row>
    <row r="220" spans="1:13" x14ac:dyDescent="0.3">
      <c r="A220" s="5" t="s">
        <v>338</v>
      </c>
      <c r="B220" t="s">
        <v>14</v>
      </c>
      <c r="C220" s="4">
        <v>46042</v>
      </c>
      <c r="D220" s="4">
        <v>46043</v>
      </c>
      <c r="E220" s="10" t="s">
        <v>169</v>
      </c>
      <c r="H220" s="4">
        <v>46045</v>
      </c>
      <c r="I220" s="20" t="s">
        <v>169</v>
      </c>
      <c r="J220" s="4">
        <v>46059</v>
      </c>
      <c r="K220" t="s">
        <v>348</v>
      </c>
      <c r="L220" s="4">
        <v>46065</v>
      </c>
      <c r="M220" t="s">
        <v>75</v>
      </c>
    </row>
    <row r="221" spans="1:13" x14ac:dyDescent="0.3">
      <c r="A221" s="5" t="s">
        <v>339</v>
      </c>
      <c r="B221" t="s">
        <v>14</v>
      </c>
      <c r="C221" s="4">
        <v>46042</v>
      </c>
      <c r="D221" s="4">
        <v>46043</v>
      </c>
      <c r="E221" t="s">
        <v>278</v>
      </c>
      <c r="H221" s="4">
        <v>46045</v>
      </c>
      <c r="I221" t="s">
        <v>278</v>
      </c>
      <c r="J221" s="4">
        <v>46061</v>
      </c>
      <c r="K221" t="s">
        <v>348</v>
      </c>
      <c r="L221" s="4">
        <v>46066</v>
      </c>
      <c r="M221" t="s">
        <v>75</v>
      </c>
    </row>
    <row r="222" spans="1:13" x14ac:dyDescent="0.3">
      <c r="A222" s="5" t="s">
        <v>340</v>
      </c>
      <c r="B222" t="s">
        <v>14</v>
      </c>
      <c r="C222" s="4">
        <v>46042</v>
      </c>
      <c r="D222" s="4">
        <v>46043</v>
      </c>
      <c r="E222" t="s">
        <v>278</v>
      </c>
      <c r="H222" s="4">
        <v>46045</v>
      </c>
      <c r="I222" t="s">
        <v>278</v>
      </c>
      <c r="J222" s="4">
        <v>46057</v>
      </c>
      <c r="K222" t="s">
        <v>348</v>
      </c>
      <c r="L222" s="4">
        <v>46062</v>
      </c>
      <c r="M222" t="s">
        <v>75</v>
      </c>
    </row>
    <row r="223" spans="1:13" x14ac:dyDescent="0.3">
      <c r="A223" s="5" t="s">
        <v>341</v>
      </c>
      <c r="B223" t="s">
        <v>14</v>
      </c>
      <c r="C223" s="4">
        <v>46042</v>
      </c>
      <c r="D223" s="4">
        <v>46043</v>
      </c>
      <c r="E223" t="s">
        <v>278</v>
      </c>
      <c r="H223" s="4">
        <v>46045</v>
      </c>
      <c r="I223" t="s">
        <v>278</v>
      </c>
      <c r="J223" s="4">
        <v>46058</v>
      </c>
      <c r="K223" t="s">
        <v>348</v>
      </c>
      <c r="L223" s="4">
        <v>46063</v>
      </c>
      <c r="M223" t="s">
        <v>75</v>
      </c>
    </row>
    <row r="224" spans="1:13" x14ac:dyDescent="0.3">
      <c r="A224" s="5" t="s">
        <v>342</v>
      </c>
      <c r="B224" t="s">
        <v>14</v>
      </c>
      <c r="C224" s="4">
        <v>46042</v>
      </c>
      <c r="D224" s="4">
        <v>46043</v>
      </c>
      <c r="E224" t="s">
        <v>278</v>
      </c>
      <c r="H224" s="4">
        <v>46045</v>
      </c>
      <c r="I224" t="s">
        <v>278</v>
      </c>
      <c r="J224" s="4">
        <v>46059</v>
      </c>
      <c r="K224" t="s">
        <v>348</v>
      </c>
      <c r="L224" s="4">
        <v>46065</v>
      </c>
      <c r="M224" t="s">
        <v>75</v>
      </c>
    </row>
    <row r="225" spans="1:13" x14ac:dyDescent="0.3">
      <c r="A225" s="5" t="s">
        <v>343</v>
      </c>
      <c r="B225" t="s">
        <v>14</v>
      </c>
      <c r="C225" s="4">
        <v>46042</v>
      </c>
      <c r="D225" s="4">
        <v>46043</v>
      </c>
      <c r="E225" t="s">
        <v>278</v>
      </c>
      <c r="H225" s="4">
        <v>46045</v>
      </c>
      <c r="I225" t="s">
        <v>278</v>
      </c>
      <c r="J225" s="4">
        <v>46056</v>
      </c>
      <c r="K225" t="s">
        <v>348</v>
      </c>
      <c r="L225" s="4">
        <v>46062</v>
      </c>
      <c r="M225" t="s">
        <v>75</v>
      </c>
    </row>
    <row r="226" spans="1:13" x14ac:dyDescent="0.3">
      <c r="A226" s="5" t="s">
        <v>344</v>
      </c>
      <c r="B226" t="s">
        <v>14</v>
      </c>
      <c r="C226" s="4">
        <v>46042</v>
      </c>
      <c r="D226" s="4">
        <v>46043</v>
      </c>
      <c r="E226" t="s">
        <v>278</v>
      </c>
      <c r="H226" s="4">
        <v>46045</v>
      </c>
      <c r="I226" t="s">
        <v>278</v>
      </c>
      <c r="J226" s="4">
        <v>46060</v>
      </c>
      <c r="K226" t="s">
        <v>348</v>
      </c>
      <c r="L226" s="4">
        <v>46065</v>
      </c>
      <c r="M226" t="s">
        <v>75</v>
      </c>
    </row>
    <row r="227" spans="1:13" x14ac:dyDescent="0.3">
      <c r="A227" s="5" t="s">
        <v>345</v>
      </c>
      <c r="B227" t="s">
        <v>14</v>
      </c>
      <c r="C227" s="4">
        <v>46042</v>
      </c>
      <c r="D227" s="4">
        <v>46043</v>
      </c>
      <c r="E227" t="s">
        <v>278</v>
      </c>
      <c r="H227" s="4">
        <v>46045</v>
      </c>
      <c r="I227" t="s">
        <v>278</v>
      </c>
      <c r="J227" s="4">
        <v>46061</v>
      </c>
      <c r="K227" t="s">
        <v>348</v>
      </c>
      <c r="L227" s="4">
        <v>46066</v>
      </c>
      <c r="M227" t="s">
        <v>75</v>
      </c>
    </row>
    <row r="228" spans="1:13" x14ac:dyDescent="0.3">
      <c r="A228" s="9" t="s">
        <v>346</v>
      </c>
      <c r="B228" t="s">
        <v>14</v>
      </c>
      <c r="C228" s="4">
        <v>46042</v>
      </c>
      <c r="D228" s="4">
        <v>46043</v>
      </c>
      <c r="E228" t="s">
        <v>278</v>
      </c>
      <c r="H228" s="4">
        <v>46045</v>
      </c>
      <c r="I228" t="s">
        <v>278</v>
      </c>
      <c r="J228" s="8">
        <v>46057</v>
      </c>
      <c r="K228" s="9">
        <v>0.24</v>
      </c>
    </row>
    <row r="229" spans="1:13" x14ac:dyDescent="0.3">
      <c r="A229" s="5" t="s">
        <v>347</v>
      </c>
      <c r="B229" t="s">
        <v>14</v>
      </c>
      <c r="C229" s="4">
        <v>46042</v>
      </c>
      <c r="D229" s="4">
        <v>46043</v>
      </c>
      <c r="E229" s="10" t="s">
        <v>169</v>
      </c>
      <c r="H229" s="4">
        <v>46045</v>
      </c>
      <c r="I229" t="s">
        <v>278</v>
      </c>
      <c r="J229" s="4">
        <v>46058</v>
      </c>
      <c r="K229" t="s">
        <v>348</v>
      </c>
      <c r="L229" s="4">
        <v>46063</v>
      </c>
      <c r="M229" t="s">
        <v>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cox_model</vt:lpstr>
      <vt:lpstr>Larvae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Ianeva Elena</dc:creator>
  <cp:lastModifiedBy>Ianeva Elena</cp:lastModifiedBy>
  <cp:lastPrinted>2025-12-18T12:42:44Z</cp:lastPrinted>
  <dcterms:created xsi:type="dcterms:W3CDTF">2025-08-27T07:32:26Z</dcterms:created>
  <dcterms:modified xsi:type="dcterms:W3CDTF">2026-06-22T11:38:01Z</dcterms:modified>
</cp:coreProperties>
</file>